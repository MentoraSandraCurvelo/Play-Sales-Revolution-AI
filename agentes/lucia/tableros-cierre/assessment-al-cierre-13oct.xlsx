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SUMEN GLOBAL" sheetId="2" r:id="rId5"/>
    <sheet state="visible" name="JURIDICA" sheetId="3" r:id="rId6"/>
    <sheet state="visible" name="SERVICIOS SOCIALES" sheetId="4" r:id="rId7"/>
    <sheet state="visible" name="VIVIENDA" sheetId="5" r:id="rId8"/>
    <sheet state="visible" name="SUB ADMIN FINANCIERA" sheetId="6" r:id="rId9"/>
    <sheet state="visible" name="TECNOLOGIA" sheetId="7" r:id="rId10"/>
    <sheet state="visible" name="COMUNICACIONES" sheetId="8" r:id="rId11"/>
    <sheet state="visible" name="SUB OPERATIVA" sheetId="9" r:id="rId12"/>
    <sheet state="visible" name="CONTABILIDAD" sheetId="10" r:id="rId13"/>
    <sheet state="visible" name="IPS" sheetId="11" r:id="rId14"/>
    <sheet state="visible" name="AGENCIA DE EMPLEO" sheetId="12" r:id="rId15"/>
    <sheet state="visible" name="SUBSIDIO" sheetId="13" r:id="rId16"/>
    <sheet state="visible" name="TALENTO HUMANO" sheetId="14" r:id="rId17"/>
    <sheet state="visible" name="CUMPLIMIENTO" sheetId="15" r:id="rId18"/>
    <sheet state="visible" name="EDUCACION" sheetId="16" r:id="rId19"/>
    <sheet state="visible" name="MERCADEO" sheetId="17" r:id="rId20"/>
    <sheet state="visible" name="PLANEACION" sheetId="18" r:id="rId21"/>
    <sheet state="visible" name="TESORERIA" sheetId="19" r:id="rId22"/>
    <sheet state="hidden" name="GERENCIA FINANCIERA" sheetId="20" r:id="rId23"/>
    <sheet state="hidden" name="PRESUPUESTO" sheetId="21" r:id="rId24"/>
    <sheet state="hidden" name="DIRECCION ADMIN" sheetId="22" r:id="rId25"/>
    <sheet state="hidden" name="CREDITO" sheetId="23" r:id="rId26"/>
  </sheets>
  <definedNames/>
  <calcPr calcId="191029" fullCalcOnLoad="1"/>
  <extLst>
    <ext uri="GoogleSheetsCustomDataVersion2">
      <go:sheetsCustomData xmlns:go="http://customooxmlschemas.google.com/" r:id="rId27" roundtripDataChecksum="EyjIwTMF5vc/TIrxyOfzTjDGpy2jUTYE0uBiIWzR/9I="/>
    </ext>
  </extLst>
</workbook>
</file>

<file path=xl/sharedStrings.xml><?xml version="1.0" encoding="utf-8"?>
<sst xmlns="http://schemas.openxmlformats.org/spreadsheetml/2006/main" count="882" uniqueCount="291">
  <si>
    <t>IAM Intelligence™  ·  Assessment  ·  SERVICIOS SOCIALES</t>
  </si>
  <si>
    <t>IAM Intelligence™  ·  Resumen de Productividad por Área  ·  Comfacesar 2026</t>
  </si>
  <si>
    <t>IAM Intelligence™ — Assessment Inicial de Productividad · Comfacesar 2026</t>
  </si>
  <si>
    <t>IAM Intelligence™  ·  Assessment  ·  JURIDICA</t>
  </si>
  <si>
    <t xml:space="preserve">  CÓMO USAR ESTE ARCHIVO</t>
  </si>
  <si>
    <t>1.  Abre la hoja del grupo con el que vas a sesionar (ej: COMUNICACIONES).</t>
  </si>
  <si>
    <t>2.  Los nombres de los participantes ya están precargados en cada hoja.</t>
  </si>
  <si>
    <t>ÁREA</t>
  </si>
  <si>
    <t>Área:</t>
  </si>
  <si>
    <t>3.  Registra la fecha de la sesión en la celda amarilla de la fila 3.</t>
  </si>
  <si>
    <t>JURIDICA</t>
  </si>
  <si>
    <t># FUNC</t>
  </si>
  <si>
    <t>SERVICIOS SOCIALES</t>
  </si>
  <si>
    <t>Fecha sesión:</t>
  </si>
  <si>
    <t>TAREAS
MAPEADAS</t>
  </si>
  <si>
    <t>4.  Durante la sesión, completa las 8 filas de TAREAS con el grupo: nombre de la tarea, frecuencia, tiempo actual en minutos, herramienta IA y tiempo proyectado con IA.</t>
  </si>
  <si>
    <t>HRS/SEM
ACTUAL</t>
  </si>
  <si>
    <t>HRS/SEM
CON IA</t>
  </si>
  <si>
    <t>5.  Las columnas AHORRO (min) y % REDUCCIÓN se calculan automáticamente.</t>
  </si>
  <si>
    <t>AHORRO
HRS/SEM</t>
  </si>
  <si>
    <t>% REDUCCIÓN</t>
  </si>
  <si>
    <t>Sesión #:</t>
  </si>
  <si>
    <t>6.  El RESUMEN al final de cada hoja muestra: tareas mapeadas · horas/semana actuales · horas/semana con IA · ahorro semanal. Se calcula solo.</t>
  </si>
  <si>
    <t>COMUNICACIONES</t>
  </si>
  <si>
    <t xml:space="preserve">  PARTICIPANTES</t>
  </si>
  <si>
    <t>7.  El RESUMEN GLOBAL se actualiza automáticamente con los datos de todas las hojas. Ese es el reporte para María Elvira.</t>
  </si>
  <si>
    <t>⭕  Celdas AMARILLAS = las completas tú · Celdas VERDES = se calculan automáticamente · Resumen Global = se llena automáticamente</t>
  </si>
  <si>
    <t>✓  Renata Del Mar Laino Niño</t>
  </si>
  <si>
    <t>✓  Carlos Mario Gamarra Montes</t>
  </si>
  <si>
    <t>✓  Lilibeth Del Carmen Costa Méndez</t>
  </si>
  <si>
    <t xml:space="preserve">  DIAGNÓSTICO — TAREAS ACTUALES</t>
  </si>
  <si>
    <t>✓  Lilian Paola Ramos</t>
  </si>
  <si>
    <t>TAREA / REPORTE</t>
  </si>
  <si>
    <t>✓  Juan Pablo Cúrvelo</t>
  </si>
  <si>
    <t>FRECUENCIA</t>
  </si>
  <si>
    <t>TIEMPO ACTUAL
(minutos)</t>
  </si>
  <si>
    <t>HERRAMIENTA IA</t>
  </si>
  <si>
    <t>TIEMPO CON IA
(minutos)</t>
  </si>
  <si>
    <t>AHORRO
(min)</t>
  </si>
  <si>
    <t>AHORRO
(HORAS)</t>
  </si>
  <si>
    <t>OBSERVACIONES</t>
  </si>
  <si>
    <t>Revisión de Solicitudes de elaboracion de convenios de prácticas para los estudiantes de INSTECOM</t>
  </si>
  <si>
    <t>Quincenal</t>
  </si>
  <si>
    <t>Claude</t>
  </si>
  <si>
    <t>Presentación resultado MMI Consejo Directivo</t>
  </si>
  <si>
    <t>Ocasional</t>
  </si>
  <si>
    <t>MERCADEO</t>
  </si>
  <si>
    <t xml:space="preserve">Carlos Gamarra, antes de forma manual, leía la infomracion que esta en  el formato, revisando que coinida con los documentos de la mepresa y la copia de la cedula, adicionamente los antecedentes. Y ademas crear el correo y enviarlo </t>
  </si>
  <si>
    <t>Revisión preliminar de convenios de prácticas con universidades a nivel nacional.</t>
  </si>
  <si>
    <t>Mensual</t>
  </si>
  <si>
    <t>JP:Buen ejercicio, para hacer comparativo entre años.</t>
  </si>
  <si>
    <t>Carlos Gamarra, antes de forma manual, leía la infomracion que esta en  el convenio, revisando que los datos de la caja y del director esten correctos y luego redactaba el correo al área jurídica donde comparto el documento para que sea revisado por los abogados.</t>
  </si>
  <si>
    <t>Respuesta a anotacion 06 Auditoria Interna</t>
  </si>
  <si>
    <t>Revisión de contratos de bienestar con entidades públicas.</t>
  </si>
  <si>
    <t>AGENCIA DE EMPLEO</t>
  </si>
  <si>
    <t>Carlos Gamarra, antes de forma manual, leía la infomracion que esta en  el contrato y sus anexos, revisando que los datos de la caja y del director esten correctos, verificando que no exista riesgo para la caja y luego redactaba el correo al área jurídica donde comparto el documento para que sea revisado por los abogados.</t>
  </si>
  <si>
    <t>Revisión de formatos de inscripción de proveedores.</t>
  </si>
  <si>
    <t>JP:Este ejercicio nos permitió organizar de una forma mejor la respuesta ante un requerimiento de Auditoria Interna por alguna observación a los servicios.</t>
  </si>
  <si>
    <t>Carlos Gamarra, antes de forma manual, leía la infomracion que esta en  el formato, revisando que los datos de la caja y del director esten correctos.</t>
  </si>
  <si>
    <t>Elaboracion de Actas de Contratos</t>
  </si>
  <si>
    <t>Revisión de solicitudes de elaboración de convenios de descuentos.</t>
  </si>
  <si>
    <t>Carlos Gamarra, antes de forma manual, leía la infomracion que esta en la solicitud de elaboración del convenio, revisando que los datos de la empresa aliada y su representante legal esten correctos y luego redactaba el correo al área jurídica donde comparto el paquete de documentos para que sea elaborado el convenio por los abogados.</t>
  </si>
  <si>
    <t>Revisión de solicitudes de elaboración de convenios de marcos y sus anexos.</t>
  </si>
  <si>
    <t>JP: este ejercicio me permitió optimizar el triempo de elaboración de las actas de inicio, recibo y liquidación de los contratos del area.</t>
  </si>
  <si>
    <t>Revision de Actas de Contratos</t>
  </si>
  <si>
    <t>TALENTO HUMANO</t>
  </si>
  <si>
    <t>Consolidación  trimestral  del informe de sostenibilidad.</t>
  </si>
  <si>
    <t>JP: con este ejercicio se reduce a 0 errores al momento de revisar las actas elaboradas en la Coordinación de Rec y Deportes antes de pasar a firma.</t>
  </si>
  <si>
    <t>Carlos Gamarra, antes de forma manual, leía la infomracion consignada en cada convenio paa conocer a poblacion beneficiada y de esta forma poder consolidar los datos que solicita el informe. Luego redacto un correo al área responsable para compartir la información</t>
  </si>
  <si>
    <t>Informe de Sostenibilidad C.C. Crispin Villazon de Armas</t>
  </si>
  <si>
    <t>Revisión RequisitosLegales Contratación</t>
  </si>
  <si>
    <t>Diaria</t>
  </si>
  <si>
    <t>Renata: A través de un buscador web se consulta la normatividad aplicable y se contrasta con lo dispuesto en las políticas de la Caja</t>
  </si>
  <si>
    <t>PLANEACION</t>
  </si>
  <si>
    <t>Revisión Minutas Contractuales</t>
  </si>
  <si>
    <t>JP: en este ejercicio se organizó un informe sobre el comportamiento financiero y de Usos que ha tenido el CC Crispin Villazon de Armas, arrojando datos financieros y acciones comerciales sugeridas por implementar.</t>
  </si>
  <si>
    <t>Informe de Seguimiento No 4 CCF015-05-00046 "Proyecto Construccion De Cubierta Para Cancha Sintetica Complejo Deportivo"</t>
  </si>
  <si>
    <t>Renata: Se revisan los datos incluidos en las minutas contractuales de forma física, comparandolos con los datos de la solicitud y la propuesta.</t>
  </si>
  <si>
    <t>Informe Alta Gerencia</t>
  </si>
  <si>
    <t>Trimestral</t>
  </si>
  <si>
    <t>JP: con este primer ejercicio de AGENTE INFRA se aprendió a crear un entorno donde con trazando una ruta de un proceso y dandole la ruta donde encontrar la información, actaulizó de manera automatizada la ficha de seguimiento a los proyectos de infraestructura asignado a la Gerencia de SS.</t>
  </si>
  <si>
    <t>Acta de Cierre-FP-06 CCF015-05-00039 C.R. La Pedregosa</t>
  </si>
  <si>
    <t>Lilibeth Costa: Consolidacion, analisis de data de mas de 20 procesos internos organizados por Google Sheets</t>
  </si>
  <si>
    <t>Informe Comite Juridico</t>
  </si>
  <si>
    <t>JP: aplicando la estructura a la herramienta de AGENTE nos permitio elaborar en menor tiempo un acta de cierre de un proyecto de infraestructura.</t>
  </si>
  <si>
    <t>Informe de Seguimiento No 12 CCF015-05-00033 "Proyecto Ampliación Cobertura - Segunda Etapa Centro Recreacional Buenavista - Pueblo Bello"</t>
  </si>
  <si>
    <t>CONTABILIDAD</t>
  </si>
  <si>
    <t>Seguimiento Asistentes Juridicos</t>
  </si>
  <si>
    <t>JP: Se uso el AGENTE INFRA y actualizó de forma inmediata la ficha de seguimiento del proyecto en mensión.</t>
  </si>
  <si>
    <t>Diligenciamiento del formato FP-03 para el Proyecto CCF015-05-00039 C.R. La Pedregosa</t>
  </si>
  <si>
    <t>Lilibeth Costa: Pendientes por elaborar, estado actual y KPIS del equipo</t>
  </si>
  <si>
    <t>Creacion de agente IA sofIA</t>
  </si>
  <si>
    <t>JP: se elaboro con la herramienta el diligenciamineto del formato del Plan de Diseño del proyecto em mensión.</t>
  </si>
  <si>
    <t>Lilibeth Costa: Creacion de un agente virtual Contratación</t>
  </si>
  <si>
    <t>Diligenciamiento del formato FP-03 para el Proyecto CCF015-05-00046 Cubierta Cancha Sintetica</t>
  </si>
  <si>
    <t>Informe Sireci Mensual - Contraloria</t>
  </si>
  <si>
    <t>TESORERIA</t>
  </si>
  <si>
    <t xml:space="preserve">Lilibeth Costa: validacion y consolidacion de informacion </t>
  </si>
  <si>
    <t>Tablero Teresa</t>
  </si>
  <si>
    <t>Analisis Comparativo C.C.T. Vs Propuesta Admon</t>
  </si>
  <si>
    <t>Lilibeth Costa: Creacion de Tablero consolidando la informacion de Teresa Chatbot de Comfacesar (cumplimiento)</t>
  </si>
  <si>
    <t xml:space="preserve">Presentaciones de capacitacion </t>
  </si>
  <si>
    <t>JP: se necesitaba cruzar la CCT actual contra la Propuesta de la Admon para saber coincidencias, diferencias que nos permitan tener un panorama mas claropra la toma de desiciones y elaborar una contra propuesta.</t>
  </si>
  <si>
    <t>Respuesta a Recomendacion No 11 Visita Ordinaria SuperSubsidio 2026</t>
  </si>
  <si>
    <t xml:space="preserve">Lilibeth Costa: creacion de presentaciones con Claude design </t>
  </si>
  <si>
    <t>JP: Se estructuro la respuesta a la Recomendaccion con su respectiva Acción de Mejora y las actividades que se contemplan para cumplir y subsanar la recomendación.</t>
  </si>
  <si>
    <t xml:space="preserve">Infograma </t>
  </si>
  <si>
    <t>Elaboracion de Actas de Liquidacion de Contratos de Patrocinio MMI 2026</t>
  </si>
  <si>
    <t>Gemini</t>
  </si>
  <si>
    <t>Lilibeth Costa: creacion de Infograma para una mas facil explicacion de los procesos</t>
  </si>
  <si>
    <t>GERENCIA FINANCIERA</t>
  </si>
  <si>
    <t>Informe denuncias Programa de Transparencia y Ética Empresarial</t>
  </si>
  <si>
    <t>JP: Un trabajo de una semana se redujo en tiempo a media hora y a 0 error en le diligenciamineto del documento.</t>
  </si>
  <si>
    <t>Renata: revisa diariamente las denuncias recibidas a través del portal web y que llegan a su correo, debe realizar un informe mensual con el consolidado de las denuncias recibidas</t>
  </si>
  <si>
    <t>Informe De Gestion Tercer Trimestre Gerencia De Serv Sociales 2026</t>
  </si>
  <si>
    <t>Creación de agente IA matIA</t>
  </si>
  <si>
    <t xml:space="preserve">Lilibeth Costa: creacion de un agente apoyo administrativo y seguimiento </t>
  </si>
  <si>
    <t>IAM Intelligence™  ·  Assessment  ·  VIVIENDA</t>
  </si>
  <si>
    <t xml:space="preserve">  RESUMEN DE PRODUCTIVIDAD — RESULTADO DEL ASSESSMENT</t>
  </si>
  <si>
    <t>SUB ADMIN FINANCIERA</t>
  </si>
  <si>
    <t>JP: Consolidacion de reportes de Gestion de cada uno de los Servicios de la Gerencia.</t>
  </si>
  <si>
    <t>VIVIENDA</t>
  </si>
  <si>
    <t>13 de agosto</t>
  </si>
  <si>
    <t>✓  Deimer Pérez</t>
  </si>
  <si>
    <t>✓  Cindy Silva</t>
  </si>
  <si>
    <t xml:space="preserve">Seguimiento a ejecución técnica y jurídica Mejoramiento Rural </t>
  </si>
  <si>
    <t>Semanal</t>
  </si>
  <si>
    <t>CUMPLIMIENTO</t>
  </si>
  <si>
    <t>⭕  Los datos de esta hoja se reflejan automáticamente en el RESUMEN GLOBAL. Comparte esa hoja con María Elvira.</t>
  </si>
  <si>
    <t>SUB OPERATIVA</t>
  </si>
  <si>
    <r>
      <rPr>
        <rFont val="Arial"/>
        <b val="0"/>
        <i val="0"/>
        <color rgb="FF0D0D0D"/>
        <sz val="9.0"/>
      </rPr>
      <t>Auxiliar de vivienda,</t>
    </r>
    <r>
      <rPr>
        <rFont val="Arial"/>
        <b/>
        <i/>
        <color rgb="FF0D0D0D"/>
        <sz val="9.0"/>
      </rPr>
      <t xml:space="preserve"> </t>
    </r>
    <r>
      <rPr>
        <rFont val="Arial"/>
        <b val="0"/>
        <i val="0"/>
        <color rgb="FF0D0D0D"/>
        <sz val="9.0"/>
      </rPr>
      <t xml:space="preserve">el seguimiento eracompletamente manual y existia la posibilidad que las evidencias del proceso no se documentaran de manera adecuada. </t>
    </r>
  </si>
  <si>
    <t xml:space="preserve">seguimiento y notificación a vencimiento del SFV </t>
  </si>
  <si>
    <t>TECNOLOGIA</t>
  </si>
  <si>
    <r>
      <rPr>
        <rFont val="Arial"/>
        <b val="0"/>
        <i val="0"/>
        <color rgb="FF0D0D0D"/>
        <sz val="9.0"/>
      </rPr>
      <t>Auxiliar de vivienda y coor vivienda,</t>
    </r>
    <r>
      <rPr>
        <rFont val="Arial"/>
        <b/>
        <i/>
        <color rgb="FF0D0D0D"/>
        <sz val="9.0"/>
      </rPr>
      <t xml:space="preserve"> </t>
    </r>
    <r>
      <rPr>
        <rFont val="Arial"/>
        <b val="0"/>
        <i val="0"/>
        <color rgb="FF0D0D0D"/>
        <sz val="9.0"/>
      </rPr>
      <t>El seguimieto era manual y exitia la posibilidad que algun beneficiario no quedara incluido en el acta de prorrogas y posteriormente sus ubsidio reitegrado</t>
    </r>
  </si>
  <si>
    <t xml:space="preserve">Seguimiento y reporte a Quejas, DP, tutela, Comunicaciones internas </t>
  </si>
  <si>
    <t>Auxiliar de vivienda, No exitia un seguimiento a las respuesta de PQR y fechas en las que se identificara vencimiento de termino de manera clara y precisa.</t>
  </si>
  <si>
    <t>Ejecución ficha Tecnica Urbano</t>
  </si>
  <si>
    <t xml:space="preserve">Aux Vivienda, y coor Fovis se hacia de manera manual y dependia del auxiliar de vivienda la información, hoy ya esta consolidad y cualquier funcionario podria emitir la ficha Técnica </t>
  </si>
  <si>
    <t>Ejecución Ficha Técnica Rural</t>
  </si>
  <si>
    <t>SUBSIDIO</t>
  </si>
  <si>
    <t>Planeador Activides Generales Area</t>
  </si>
  <si>
    <t>Aux Vivienda, y coor Fovis se hacia de manera manual y realizar segimeinto a la ejecución era una actividad dificil de controlar</t>
  </si>
  <si>
    <t xml:space="preserve">Data de informe de Gestion trimestral </t>
  </si>
  <si>
    <t>IPS</t>
  </si>
  <si>
    <t xml:space="preserve">Aux Vivienda, y coor Fovis se hacia de manera manual y dependia del auxiliar de vivienda la información, hoy ya esta consolidad y cualquier funcionario podria emitir el informe de Gestión de Calidad con los datos actualizados </t>
  </si>
  <si>
    <t xml:space="preserve">Analisis a nuevas normas y actualizaciones de las mismas en el Sector Vivienda </t>
  </si>
  <si>
    <t xml:space="preserve"> Coor Fovis se hacia de manera manual, el tiempo que implicaba analizar la normatividad actualizada era muy grande, hoy se pueden hacer analisis comparativo en tiempo corto </t>
  </si>
  <si>
    <t xml:space="preserve">Presentacion de Gestion General a Nivel Gerencial </t>
  </si>
  <si>
    <t>PRESUPUESTO</t>
  </si>
  <si>
    <t xml:space="preserve">Coor. Fovis, se hacia de manera manual y visualmente profesional </t>
  </si>
  <si>
    <t>EDUCACION</t>
  </si>
  <si>
    <t>DIRECCION ADMIN</t>
  </si>
  <si>
    <t>CREDITO</t>
  </si>
  <si>
    <t>TOTAL COMFACESAR</t>
  </si>
  <si>
    <t>⭕  Este resumen se actualiza automáticamente cada vez que completas una sesión de assessment. Compártelo con María Elvira al finalizar cada grupo.</t>
  </si>
  <si>
    <t>IAM Intelligence™  ·  Assessment  ·  SUB ADMIN FINANCIERA</t>
  </si>
  <si>
    <t>IAM Intelligence™  ·  Assessment  ·  TECNOLOGIA</t>
  </si>
  <si>
    <t>✓  Olga Lucía Barros Zuleta</t>
  </si>
  <si>
    <t>✓  Rafael José Solano Fernández</t>
  </si>
  <si>
    <t>✓  Liliany Lineth Gómez Zuleta</t>
  </si>
  <si>
    <t>Revisión de las propuestas de TI y SI para realizar las Solicitudes de elaboracion de contratos.</t>
  </si>
  <si>
    <t xml:space="preserve">Pre Validacion precontractual </t>
  </si>
  <si>
    <t>Se revisa que le valor, el objeto de la propuesta, los tiempos de vigencia esten acorde con las necesidades de la caja de compensacion.</t>
  </si>
  <si>
    <t>Diligenciar el formato de soliictud de contrato o de orden de compra o de servicios.</t>
  </si>
  <si>
    <t>Revisar que la propuesta este bien diligenciada en los formatos y que los datos esten correctamente.</t>
  </si>
  <si>
    <t>Realizar alertas para notificar los tiempos en que se termina la videncia de un contrato o una orden de servicio o de compra</t>
  </si>
  <si>
    <t>Rafael S: Anteriormente, esta actividad me tomaba aproximadamente un día laboral, debido al tiempo requerido para analizar la documentación, verificar la formalidad de la solicitud de elaboración del contrato y realizar la revisión de los documentos y requisitos establecidos para la contratación. Este proceso implicaba validar integralmente la información antes de otorgar la aprobación correspondiente.</t>
  </si>
  <si>
    <t>Agiliza el proceso de renovacion de los contratos y las ordenes, ya que con este control nos puede avisar con tiempo par ir adelantando la solicitud de las propuestas a los proveedores.</t>
  </si>
  <si>
    <t>realizar analisis de ejecucion de los contratos y de las ordenes de compra y servicio</t>
  </si>
  <si>
    <t>Automatizacion de correo cuyo asunto: requeriminetos para aprobacion y asigancion de ODR</t>
  </si>
  <si>
    <t>IAM Intelligence™  ·  Assessment  ·  COMUNICACIONES</t>
  </si>
  <si>
    <t>agiliza el proceso de manera detallada dandome resultados claro de todos los avances ejecutados de dicho contrato y ordenes de servicios, usando los tableros interactivos, es una manera muy clara de anilisara los avances de cada uno de los contratos</t>
  </si>
  <si>
    <t>revisar los correos que llegan de parte del gerente de tecnologia solicitando la elaboracion de solicitud de contratos y oredenes, dandole pronta respuestas para continuar con los tramites pertinentes para su elaboracion.</t>
  </si>
  <si>
    <t>Rafael S: Anteriormente, dentro del proceso de revisión, me correspondía validar la información contenida en el cuerpo del correo y verificar la propuesta o cotización adjunta. Esta revisión se mantiene, teniendo en cuenta que la aprobación del requerimiento corresponde a mi gestión. Sin embargo, durante la validación se pueden identificar diferentes situaciones que requieren corrección o aclaración, como inconsistencias entre el objeto del requerimiento y las actividades registradas en el RUT y la Cámara de Comercio, información faltante o cualquier otra observación relacionada con la documentación presentada. Por lo anterior, el propósito es que, mediante la automatización, estas situaciones puedan ser identificadas y gestionadas de manera más eficiente, reduciendo reprocesos y facilitando la revisión previa a la aprobación del requerimiento.</t>
  </si>
  <si>
    <t>realizando agentes donde se filtra el correo por llegada a la bandeja de entrada se le puede dar una respuesta pronta a la solicitud realizada por parte del Gerente de Tecnologia.</t>
  </si>
  <si>
    <t>Automatización del correo de solicitud de asignación de origen de recursos a la Gerencia Financiera, con revisión y adjunto de los documentos soporte como control del proceso y registro automático de la información en la matriz de seguimiento precontractual. Esta mejora facilita la trazabilidad y reduce los tiempos de gestión.</t>
  </si>
  <si>
    <t>IAM Intelligence™  ·  Assessment  ·  SUB OPERATIVA</t>
  </si>
  <si>
    <t>11 de agosto 2026</t>
  </si>
  <si>
    <t>Rafael S: Anteriormente, el proceso se realizaba de manera más manual, ya que debía preparar los textos para copiar y pegar la información en el cuerpo del correo, consultar el archivo de Excel y trasladar nuevamente los datos. Estas actividades implicaban mayor tiempo y trabajo operativo. Con la automatización del correo dirigido a la Gerencia Financiera, cuyo asunto es “Precontractual – Solicitud de asignación de origen de recursos”, se genera automáticamente un texto predeterminado, diseñado por mí y posteriormente mejorado en su formato a solicitud mía. Como parte del control del proceso, desde nuestra área revisamos el contenido generado y adjuntamos el documento soporte correspondiente, ya sea la cotización o la propuesta.
De manera simultánea, la automatización incorpora la información en la “Matriz de control y seguimiento precontractual”, lo que facilita el registro y seguimiento de los requerimientos, mejora la eficiencia del proceso y reduce el tiempo dedicado a tareas manuales.</t>
  </si>
  <si>
    <t>Automatización de textos de notificación del proceso precontractual.</t>
  </si>
  <si>
    <t>✓  María Elvira Marulanda Fernández</t>
  </si>
  <si>
    <t>✓  Vidiana Bendeck Rueda</t>
  </si>
  <si>
    <t>✓  Sandra Machado Arquez</t>
  </si>
  <si>
    <t>✓  César Reyes Jiménez</t>
  </si>
  <si>
    <t>✓  José Manuel Vergara Daza</t>
  </si>
  <si>
    <t>Rafael S: Anteriormente, una vez recibida la comunicación de la Gerencia Financiera con la asignación del origen de los recursos, la Oficina Precontractual enviaba una notificación al área u oficina que había presentado el requerimiento, con el propósito de que el funcionario responsable conociera el estado y avance de su solicitud.
Para ello, se contaba con dos textos de notificación, según la cuantía y el tipo de trámite: órdenes de compra y/o servicios o contratos. Estas comunicaciones permitían mantener informado al responsable sobre el avance del proceso.
En el marco de la automatización, se dispuso mejorar ambos formatos para fortalecer la claridad y uniformidad de las comunicaciones. Asimismo, se indicó tener en cuenta el cuadro de cuantías y requisitos como herramienta de consulta para orientar la revisión y la toma de decisiones, de acuerdo con las condiciones aplicables a cada requerimiento.</t>
  </si>
  <si>
    <t>Se implementó la automatización para la elaboración de los formatos de Órdenes de Compra y Servicios.</t>
  </si>
  <si>
    <t>✓  Gennifer Alejandra Mira Salazar</t>
  </si>
  <si>
    <t>✓  Jonnathan Johan Armenta</t>
  </si>
  <si>
    <t>Rafael S: Anteriormente, el proceso se realizaba de manera manual tomabamos el formato de ordenes y tocaba diligenciar la informacion requerida , ahora Cuando la Oficina de Gerencia Financiera remite el correo mediante el cual se aprueba y asigna el origen de los recursos, la herramienta identifica automáticamente la cuantía correspondiente para determinar si el trámite corresponde a una orden, identifica el área responsable del requerimiento y, con base en esta información, diligencia automáticamente el formato establecido para la orden de compra y/o servicio.
Esto permite reducir actividades manuales, agilizar la elaboración del documento y mantener la estructura estandarizada definida para este tipo de trámites.</t>
  </si>
  <si>
    <t>Implementación el Portal de Control Precontractual (Dashboard)</t>
  </si>
  <si>
    <t xml:space="preserve">Actas y compromisos - Comité de tráfico </t>
  </si>
  <si>
    <t xml:space="preserve">Revisión de Costeos </t>
  </si>
  <si>
    <t>Rafael S.: Anteriormente, el proceso se realizaba de manera manual, mediante la elaboración de informes mensuales y el registro y actualización de la información en archivos de Excel. Con la implementación del Dashboard automatizado, ahora contamos con la información disponible diariamente y en tiempo real, lo que facilita el seguimiento, la consulta y el análisis de la gestión sin tener que esperar al cierre mensual para consolidar la información.</t>
  </si>
  <si>
    <t>Diligenciar : Nombre de la persona mas el proceso antes de IA</t>
  </si>
  <si>
    <t>Producción de pieza gráfica para canales internos</t>
  </si>
  <si>
    <t>Jonnathan: antes consumia tiempo realizando una tarea dinamica ahora al automatizarla en un asistente los correos que estan OK ni siquiera tengo que verlos ya solo me concentro en aquellos que tienen alguna alerta</t>
  </si>
  <si>
    <t>Informes Empresariales</t>
  </si>
  <si>
    <t>Encuestas de percepción de valores y canales internos.</t>
  </si>
  <si>
    <t xml:space="preserve">Estructuración de campaña de comunicación interna SST </t>
  </si>
  <si>
    <t xml:space="preserve">Gennifer: Ante solicitud de empresas sobre los usos de servicios y beneficios a sus empleados, realizaba tablas dinámicas manuales, ahora Claude analiza la información, crea tablas dinámicas y proyecta respuesta a la empresa.
</t>
  </si>
  <si>
    <t>Seguimiendo Indicadores</t>
  </si>
  <si>
    <t xml:space="preserve">Reestructuración campaña promoción de servicios Sácale Provecho a tu Caja </t>
  </si>
  <si>
    <t>Gennifer : Para realizar seguimiento a los indicadores, se organizaba de manera manual la información de presupuesto y ejecución por cada servicio y sede, al ser tan manual tardaba mucho, y posteriormente se organizaba presentación para grupo primario, ahora este trabajo se hace rápido y acorde a lo requerido, desde el archivo en Excel hasta la presentación en power point.</t>
  </si>
  <si>
    <t>Documento Especifico POA</t>
  </si>
  <si>
    <t>Gennifer: Para crear un documento especifico, con lineamientos establecidos en otros documentos y parametros de calidad, la redacción del documento tardaria mucho tiempo. sin embargo con la herramienta se hizo de manera eficiente y acorde a lo requerido.</t>
  </si>
  <si>
    <t>Auditoría del uso del logo COMFACESAR en piezas de terceros</t>
  </si>
  <si>
    <t>Cesar Reyes. Antes de IA: lectura del correo, descarga de la pieza, consulta manual del Manual de Marca y comparación visual del logo, redacción de la respuest</t>
  </si>
  <si>
    <t>Seguimiento solicitudes de diseño</t>
  </si>
  <si>
    <t>Cesar Reyes. Antes de IA: revisión del correo, verificación de cada solicitud contra el Excel, aviso a los solicitantes y actualización del estado.</t>
  </si>
  <si>
    <t>Creación de piezas gráficas</t>
  </si>
  <si>
    <t>Cesar Reyes. Antes de IA: lectura del brief, consulta del manual y la paleta del área, diagramación y proceso creativo.</t>
  </si>
  <si>
    <t>Informe mensual de producción gráfica</t>
  </si>
  <si>
    <t>Cesar Reyes. Antes de IA:filtro manual por responsable y estado enviado, agrupación por mes según fecha de ingreso, suma de diseños por solicitante, comparación con el mes anterior y el mismo mes del año anterior.</t>
  </si>
  <si>
    <t>IAM Intelligence™  ·  Assessment  ·  CONTABILIDAD</t>
  </si>
  <si>
    <t>✓  Carlos</t>
  </si>
  <si>
    <t>✓  Lisbeth Cuadrado Herrera</t>
  </si>
  <si>
    <t>Conciliaciones bancarias</t>
  </si>
  <si>
    <t>Carlos: Las conciliaciones bancarias tomaban un tiempo de 2 días aproximadamente. Actualmente con las herramientas aprendidas en se toman 1 día completarlas. La disminución de la operatividad ha sido alta lo que peremite enfocarse en otras partes del procesos, por ejemplo analizar las razones por las cuáles quedaorn partidas pendientes en libro o extracto.</t>
  </si>
  <si>
    <t>Reporte de viáticos</t>
  </si>
  <si>
    <t>k</t>
  </si>
  <si>
    <t>IAM Intelligence™  ·  Assessment  ·  AGENCIA DE EMPLEO</t>
  </si>
  <si>
    <t>IAM Intelligence™  ·  Assessment  ·  IPS</t>
  </si>
  <si>
    <t>El reporte que se envia al área de G.H tomaba aproximadamente 4 horas debido a la depuación de las pártidas que habia por realizar las cuáles facilmente podían ser más de 100. Actualmente claude analiza la información y deja las partidas que efectivamente estan pendientes. Además que en esos mismo 10 minutos claude genera KPI de alertas y un tablero dinámico en formato HTML.</t>
  </si>
  <si>
    <t>Calendario de obligaciones tributarias</t>
  </si>
  <si>
    <t>Carlos: El calendario de las obligaciones tributarias es un formato que se diseña a principio de año y puede tomar entre 40-60 minutos hacerlo. Actualmente con claude el tiempo de diseño fueron 5 minutos. Además que se estructuró un proceso formal para que llegaran nofitifaciones a los responsables de cada obligación tributaria y evitar posibles sanciones por  presentación extemporanea de las obligaciones</t>
  </si>
  <si>
    <t>Reporte de retención en la fuente</t>
  </si>
  <si>
    <t>Carlos: Estructurar y organizar la información para presentar la retención en la fuente tomaba aproximidamente 2horas. Con el agente de IA el tiempo se redujo a 30minutos que es básicamente para revisar debido a que el agente realiza toda la parte operativa.</t>
  </si>
  <si>
    <t>✓  Lina Rincón</t>
  </si>
  <si>
    <t>✓  Daniel Danilo Pozo Murgas</t>
  </si>
  <si>
    <t>✓  José Jaime Maya López</t>
  </si>
  <si>
    <t xml:space="preserve">Proceso de intermediación laboral validación de hojas de vida </t>
  </si>
  <si>
    <t>Alimentación del Sistema de gestión de SST con Comfacesar IPS, conceptos de aptitud para seguimientos y demas actividades del sistema</t>
  </si>
  <si>
    <t xml:space="preserve">Danilo Pozo, Antes de forma manual se realizaban las cartas de recomendaciones por trabajdor (En los meses de enero tenemos 150 ingresos), por el volumen de la información se generaban algunas inconsistencias en los informes, de igual formas debiamos llenar de manera manual las matrices de ingresos y SVE (Actualmente tenemos 5). A traves de esta Herramienta podemos perfeccionar el ejercicio y realizarlo en un dia. </t>
  </si>
  <si>
    <t>Intermediador Laboral: Anteriormente, la validación de los candidatos postulados a una vacante se realizaba mediante la revisión individual de cada hoja de vida, con el fin de identificar cuáles cumplían con el perfil requerido por el empresario. Posteriormente, las hojas de vida seleccionadas eran remitidas por correo electrónico, sin contar con una ficha de evaluación que permitiera evidenciar la puntuación o valoración asignada a cada candidato.</t>
  </si>
  <si>
    <t>Proceso de recobros, creación agente Matías</t>
  </si>
  <si>
    <t>Eliana: Anteriormente, el proceso de recobro se realizaba de forma manual por el Auxiliar FOSFEC: descargaba el reporte de Zenith, depuraba los periodos en Excel, buscaba el correo de cada beneficiario en la consulta de solicitudes y elaboraba y enviaba una a una las cartas de restitución. El seguimiento quincenal, el control de pagos y acuerdos de pago y el listado para cartera y cobranzas se llevaban manualmente, sin un tablero consolidado de la gestión.</t>
  </si>
  <si>
    <t>Laboratorio de Empleo, ampliación de los resultados a empresarios</t>
  </si>
  <si>
    <t>Alejandra: En el proceso de Laboratorio de Empleo, los informes de resultados de las pruebas psicotécnicas entregados a los empresarios contenían únicamente los puntajes obtenidos por los candidatos, sin incluir un análisis que permitiera identificar si sus competencias y habilidades se ajustaban al perfil del cargo solicitado. Esto limitaba la utilidad del informe como herramienta de apoyo para la toma de decisiones en los procesos de selección de personal.</t>
  </si>
  <si>
    <t>Creación de informe con los indicadores de la Agencia de Empleo</t>
  </si>
  <si>
    <t>Tablero de indicadores de Agencia de Empleo para Grupo Primario</t>
  </si>
  <si>
    <t xml:space="preserve">Validación de requisitos programa Impulso Empresarial </t>
  </si>
  <si>
    <t>IAM Intelligence™  ·  Assessment  ·  SUBSIDIO</t>
  </si>
  <si>
    <t>✓  José Luciano Contreras Jaime</t>
  </si>
  <si>
    <t>✓  Carlos Andrés García Martínez</t>
  </si>
  <si>
    <t>✓  Avelino Romero</t>
  </si>
  <si>
    <t>✓  Cindy Rodríguez</t>
  </si>
  <si>
    <t xml:space="preserve">PRESENTACION CONSEJO </t>
  </si>
  <si>
    <t>Anteriormente, la elaboración de las gráficas para el Consejo Directivo se realizaba de manera manual, requiriendo tiempo para organizar, consolidar y presentar la información. Actualmente, utilizo inteligencia artificial que automatiza este proceso, generando las gráficas de manera más ágil y facilitando el análisis y la presentación de los resultados.</t>
  </si>
  <si>
    <t>GESTION CORREO</t>
  </si>
  <si>
    <t>Anteriormente, la gestión del correo electrónico requería revisar, clasificar y dar seguimiento manualmente a los mensajes. Actualmente, cuento con un agente de inteligencia artificial que me apoya en la gestión del correo, facilitando la organización, priorización y seguimiento de las comunicaciones, lo que permite optimizar el tiempo y concentrarme en actividades de mayor valor.</t>
  </si>
  <si>
    <t>TABLERO DE AFILIACIONES</t>
  </si>
  <si>
    <t>Anteriormente, la verificación de las solicitudes de afiliación se realizaba de manera manual, revisando uno a uno los requisitos y criterios establecidos. Actualmente, se utilizan tableros apoyados en inteligencia artificial que analizan la información y determinan si cada solicitud procede o no procede, facilitando la toma de decisiones, reduciendo tiempos de revisión y mejorando la trazabilidad del proceso.</t>
  </si>
  <si>
    <t>Se implemento un agente de inteligencia artificial que apoya la gestión diaria del correo electrónico, identificando mensajes relevantes, organizando la información y haciendo reparto de los correos a los funcioanrios encargados y seguimiento de las solicitudes. Esto permite agilizar la gestión de las respuestas a los usuarios y optimizar el tiempo destinado a estas actividades.</t>
  </si>
  <si>
    <t>IAM Intelligence™  ·  Assessment  ·  TALENTO HUMANO</t>
  </si>
  <si>
    <t>IAM Intelligence™  ·  Assessment  ·  CUMPLIMIENTO</t>
  </si>
  <si>
    <t>✓  María Loretta Fuentes Carrillo</t>
  </si>
  <si>
    <t>✓  Roí David Carrillo Soto</t>
  </si>
  <si>
    <t>✓  Mario Pérez</t>
  </si>
  <si>
    <t>✓  Juan Carlos Guillen Escobar</t>
  </si>
  <si>
    <t xml:space="preserve">GENERACION AUTOMATICAS DE ACTAS DE CONTRATOS </t>
  </si>
  <si>
    <t>Seguimiento de los POAs en la perspectiva de eficiencia</t>
  </si>
  <si>
    <t>Maria Loretta: Se automatizó la generación de actas de inicio de COMFACESAR a partir de los expedientes contractuales escaneados (contrato, solicitud, propuesta y póliza), extrayendo y verificando datos clave —objeto, valor, plazo, garantías y fecha de aprobación jurídica de la póliza— para producir el documento oficial (formato F-J-001 v9) editable y listo para firma</t>
  </si>
  <si>
    <t>IAM Intelligence™  ·  Assessment  ·  EDUCACION</t>
  </si>
  <si>
    <t xml:space="preserve">14 de agosto </t>
  </si>
  <si>
    <t>✓  Julissa Pérez Pérez</t>
  </si>
  <si>
    <t>✓  Óscar Cotes</t>
  </si>
  <si>
    <t>IAM Intelligence™  ·  Assessment  ·  MERCADEO</t>
  </si>
  <si>
    <t>IAM Intelligence™  ·  Assessment  ·  PLANEACION</t>
  </si>
  <si>
    <t xml:space="preserve">13 de agosto </t>
  </si>
  <si>
    <t>✓  Manuel Gutiérrez Jiménez</t>
  </si>
  <si>
    <t>✓  María Isabel Tejeda Rodríguez</t>
  </si>
  <si>
    <t>✓  Rina Ropain</t>
  </si>
  <si>
    <t>✓  Adriana Carolina Cotes Ayala</t>
  </si>
  <si>
    <t>✓  Dannefer Leonarda Mora Sining</t>
  </si>
  <si>
    <t>✓  Sandra</t>
  </si>
  <si>
    <t>✓  Oscar Alonso Maestre Carrillo</t>
  </si>
  <si>
    <t>✓  Edwin Martínez</t>
  </si>
  <si>
    <t>IAM Intelligence™  ·  Assessment  ·  TESORERIA</t>
  </si>
  <si>
    <t>✓  Yohana Patricia Carreño Martínez</t>
  </si>
  <si>
    <t>✓  Beatriz Elena Pórtela Padro</t>
  </si>
  <si>
    <t>IAM Intelligence™  ·  Assessment  ·  GERENCIA FINANCIERA</t>
  </si>
  <si>
    <t>✓  Yeraldin Murgas Campo</t>
  </si>
  <si>
    <t>✓  Carlos Mario Mendoza Carreño</t>
  </si>
  <si>
    <t>✓  Wilgenes Salgado</t>
  </si>
  <si>
    <t>IAM Intelligence™  ·  Assessment  ·  PRESUPUESTO</t>
  </si>
  <si>
    <t>✓  Sandra Milena Hinojosa Lopez</t>
  </si>
  <si>
    <t>IAM Intelligence™  ·  Assessment  ·  DIRECCION ADMIN</t>
  </si>
  <si>
    <t>✓  Alemar Andrés Granadillo Vidal</t>
  </si>
  <si>
    <t>IAM Intelligence™  ·  Assessment  ·  CREDITO</t>
  </si>
  <si>
    <t>✓  José Jorge Ruiz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</si>
</sst>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5">
    <font>
      <sz val="11.0"/>
      <color theme="1"/>
      <name val="Calibri"/>
      <scheme val="minor"/>
    </font>
    <font>
      <sz val="21.0"/>
      <color theme="1"/>
      <name val="Calibri"/>
    </font>
    <font>
      <b/>
      <sz val="24.0"/>
      <color rgb="FFCC0000"/>
      <name val="Arial"/>
    </font>
    <font>
      <sz val="24.0"/>
      <color theme="1"/>
      <name val="Calibri"/>
    </font>
    <font>
      <b/>
      <sz val="12.0"/>
      <color rgb="FFFFFFFF"/>
      <name val="Arial"/>
    </font>
    <font>
      <b/>
      <sz val="13.0"/>
      <color rgb="FFFFFFFF"/>
      <name val="Arial"/>
    </font>
    <font/>
    <font>
      <b/>
      <sz val="24.0"/>
      <color rgb="FFFFFFFF"/>
      <name val="Arial"/>
    </font>
    <font>
      <sz val="11.0"/>
      <color theme="1"/>
      <name val="Calibri"/>
    </font>
    <font>
      <sz val="24.0"/>
      <color rgb="FF0D0D0D"/>
      <name val="Arial"/>
    </font>
    <font>
      <b/>
      <sz val="10.0"/>
      <color rgb="FF0D0D0D"/>
      <name val="Arial"/>
    </font>
    <font>
      <b/>
      <sz val="9.0"/>
      <color rgb="FFFFFFFF"/>
      <name val="Arial"/>
    </font>
    <font>
      <b/>
      <sz val="10.0"/>
      <color rgb="FFCC0000"/>
      <name val="Arial"/>
    </font>
    <font>
      <b/>
      <sz val="10.0"/>
      <color rgb="FFFFFFFF"/>
      <name val="Arial"/>
    </font>
    <font>
      <sz val="10.0"/>
      <color rgb="FF0D0D0D"/>
      <name val="Arial"/>
    </font>
    <font>
      <sz val="9.0"/>
      <color rgb="FF0D0D0D"/>
      <name val="Arial"/>
    </font>
    <font>
      <b/>
      <sz val="9.0"/>
      <color rgb="FFCC0000"/>
      <name val="Arial"/>
    </font>
    <font>
      <b/>
      <sz val="10.0"/>
      <color rgb="FF145A32"/>
      <name val="Arial"/>
    </font>
    <font>
      <i/>
      <sz val="9.0"/>
      <color rgb="FF0D0D0D"/>
      <name val="Arial"/>
    </font>
    <font>
      <b/>
      <i/>
      <sz val="8.0"/>
      <color rgb="FF0D0D0D"/>
      <name val="Arial"/>
    </font>
    <font>
      <b/>
      <sz val="8.0"/>
      <color rgb="FFAAAAAA"/>
      <name val="Arial"/>
    </font>
    <font>
      <b/>
      <i/>
      <sz val="9.0"/>
      <color rgb="FF0D0D0D"/>
      <name val="Arial"/>
    </font>
    <font>
      <b/>
      <sz val="11.0"/>
      <color rgb="FFCC0000"/>
      <name val="Arial"/>
    </font>
    <font>
      <b/>
      <i/>
      <sz val="12.0"/>
      <color rgb="FF0D0D0D"/>
      <name val="Arial"/>
    </font>
    <font>
      <color theme="1"/>
      <name val="Calibri"/>
      <scheme val="minor"/>
    </font>
  </fonts>
  <fills count="9">
    <fill>
      <patternFill patternType="none"/>
    </fill>
    <fill>
      <patternFill patternType="lightGray"/>
    </fill>
    <fill>
      <patternFill patternType="solid">
        <fgColor rgb="FF0D0D0D"/>
        <bgColor rgb="FF0D0D0D"/>
      </patternFill>
    </fill>
    <fill>
      <patternFill patternType="solid">
        <fgColor rgb="FFCC0000"/>
        <bgColor rgb="FFCC0000"/>
      </patternFill>
    </fill>
    <fill>
      <patternFill patternType="solid">
        <fgColor rgb="FFF5F5F5"/>
        <bgColor rgb="FFF5F5F5"/>
      </patternFill>
    </fill>
    <fill>
      <patternFill patternType="solid">
        <fgColor rgb="FFFFFFFF"/>
        <bgColor rgb="FFFFFFFF"/>
      </patternFill>
    </fill>
    <fill>
      <patternFill patternType="solid">
        <fgColor rgb="FFFFFF00"/>
        <bgColor rgb="FFFFFF00"/>
      </patternFill>
    </fill>
    <fill>
      <patternFill patternType="solid">
        <fgColor rgb="FFFFF9C4"/>
        <bgColor rgb="FFFFF9C4"/>
      </patternFill>
    </fill>
    <fill>
      <patternFill patternType="solid">
        <fgColor rgb="FFE8F5E9"/>
        <bgColor rgb="FFE8F5E9"/>
      </patternFill>
    </fill>
  </fills>
  <borders count="9">
    <border/>
    <border>
      <left/>
      <right/>
      <top/>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top style="thin">
        <color rgb="FFCCCCCC"/>
      </top>
      <bottom style="thin">
        <color rgb="FFCCCCCC"/>
      </bottom>
    </border>
    <border>
      <top style="thin">
        <color rgb="FFCCCCCC"/>
      </top>
      <bottom style="thin">
        <color rgb="FFCCCCCC"/>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shrinkToFit="0" vertical="center" wrapText="1"/>
    </xf>
    <xf borderId="2" fillId="2" fontId="5" numFmtId="0" xfId="0" applyAlignment="1" applyBorder="1" applyFill="1" applyFont="1">
      <alignment horizontal="center" shrinkToFit="0" vertical="center" wrapText="1"/>
    </xf>
    <xf borderId="2" fillId="2" fontId="4"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3" fontId="3" numFmtId="0" xfId="0" applyBorder="1" applyFill="1" applyFont="1"/>
    <xf borderId="1" fillId="2" fontId="7" numFmtId="0" xfId="0" applyBorder="1" applyFill="1" applyFont="1"/>
    <xf borderId="2" fillId="3" fontId="8" numFmtId="0" xfId="0" applyBorder="1" applyFill="1" applyFont="1"/>
    <xf borderId="1" fillId="4" fontId="9" numFmtId="0" xfId="0" applyAlignment="1" applyBorder="1" applyFill="1" applyFont="1">
      <alignment horizontal="left" shrinkToFit="0" vertical="center" wrapText="1"/>
    </xf>
    <xf borderId="1" fillId="5" fontId="9" numFmtId="0" xfId="0" applyAlignment="1" applyBorder="1" applyFill="1" applyFont="1">
      <alignment horizontal="left" shrinkToFit="0" vertical="center" wrapText="1"/>
    </xf>
    <xf borderId="0" fillId="0" fontId="10" numFmtId="0" xfId="0" applyFont="1"/>
    <xf borderId="5" fillId="3" fontId="11" numFmtId="0" xfId="0" applyAlignment="1" applyBorder="1" applyFill="1" applyFont="1">
      <alignment horizontal="center" shrinkToFit="0" vertical="center" wrapText="1"/>
    </xf>
    <xf borderId="0" fillId="0" fontId="12" numFmtId="0" xfId="0" applyFont="1"/>
    <xf borderId="5" fillId="6" fontId="8" numFmtId="0" xfId="0" applyBorder="1" applyFill="1" applyFont="1"/>
    <xf borderId="5" fillId="4" fontId="10" numFmtId="0" xfId="0" applyAlignment="1" applyBorder="1" applyFill="1" applyFont="1">
      <alignment horizontal="left" shrinkToFit="0" vertical="center" wrapText="1"/>
    </xf>
    <xf borderId="2" fillId="3" fontId="13" numFmtId="0" xfId="0" applyAlignment="1" applyBorder="1" applyFill="1" applyFont="1">
      <alignment horizontal="left" shrinkToFit="0" vertical="center" wrapText="1"/>
    </xf>
    <xf borderId="5" fillId="4" fontId="14" numFmtId="0" xfId="0" applyAlignment="1" applyBorder="1" applyFill="1" applyFont="1">
      <alignment horizontal="center" shrinkToFit="0" vertical="center" wrapText="1"/>
    </xf>
    <xf borderId="0" fillId="0" fontId="15" numFmtId="0" xfId="0" applyAlignment="1" applyFont="1">
      <alignment horizontal="left" shrinkToFit="0" vertical="center" wrapText="1"/>
    </xf>
    <xf borderId="2" fillId="2" fontId="13" numFmtId="0" xfId="0" applyAlignment="1" applyBorder="1" applyFill="1" applyFont="1">
      <alignment horizontal="left" shrinkToFit="0" vertical="center" wrapText="1"/>
    </xf>
    <xf borderId="5" fillId="2" fontId="11" numFmtId="0" xfId="0" applyAlignment="1" applyBorder="1" applyFill="1" applyFont="1">
      <alignment horizontal="center" shrinkToFit="0" vertical="center" wrapText="1"/>
    </xf>
    <xf borderId="5" fillId="4" fontId="14" numFmtId="164" xfId="0" applyAlignment="1" applyBorder="1" applyFill="1" applyFont="1" applyNumberFormat="1">
      <alignment horizontal="center" shrinkToFit="0" vertical="center" wrapText="1"/>
    </xf>
    <xf borderId="5" fillId="5" fontId="8" numFmtId="0" xfId="0" applyAlignment="1" applyBorder="1" applyFill="1" applyFont="1">
      <alignment horizontal="left" shrinkToFit="0" vertical="center" wrapText="1"/>
    </xf>
    <xf borderId="5" fillId="7" fontId="15" numFmtId="0" xfId="0" applyAlignment="1" applyBorder="1" applyFill="1" applyFont="1">
      <alignment horizontal="center" shrinkToFit="0" vertical="center" wrapText="1"/>
    </xf>
    <xf borderId="5" fillId="7" fontId="8" numFmtId="1" xfId="0" applyAlignment="1" applyBorder="1" applyFill="1" applyFont="1" applyNumberFormat="1">
      <alignment horizontal="center" shrinkToFit="0" vertical="center" wrapText="1"/>
    </xf>
    <xf borderId="5" fillId="7" fontId="16" numFmtId="0" xfId="0" applyAlignment="1" applyBorder="1" applyFill="1" applyFont="1">
      <alignment horizontal="center" shrinkToFit="0" vertical="center" wrapText="1"/>
    </xf>
    <xf borderId="5" fillId="8" fontId="8" numFmtId="1" xfId="0" applyAlignment="1" applyBorder="1" applyFill="1" applyFont="1" applyNumberFormat="1">
      <alignment horizontal="center" shrinkToFit="0" vertical="center" wrapText="1"/>
    </xf>
    <xf borderId="5" fillId="8" fontId="17" numFmtId="164" xfId="0" applyAlignment="1" applyBorder="1" applyFill="1" applyFont="1" applyNumberFormat="1">
      <alignment horizontal="center" shrinkToFit="0" vertical="center" wrapText="1"/>
    </xf>
    <xf borderId="5" fillId="8" fontId="17" numFmtId="1" xfId="0" applyAlignment="1" applyBorder="1" applyFill="1" applyFont="1" applyNumberFormat="1">
      <alignment horizontal="center" shrinkToFit="0" vertical="center" wrapText="1"/>
    </xf>
    <xf borderId="5" fillId="8" fontId="17" numFmtId="9" xfId="0" applyAlignment="1" applyBorder="1" applyFill="1" applyFont="1" applyNumberFormat="1">
      <alignment horizontal="center" shrinkToFit="0" vertical="center" wrapText="1"/>
    </xf>
    <xf borderId="5" fillId="5" fontId="10" numFmtId="0" xfId="0" applyAlignment="1" applyBorder="1" applyFill="1" applyFont="1">
      <alignment horizontal="left" shrinkToFit="0" vertical="center" wrapText="1"/>
    </xf>
    <xf borderId="5" fillId="5" fontId="14" numFmtId="0" xfId="0" applyAlignment="1" applyBorder="1" applyFill="1" applyFont="1">
      <alignment horizontal="center" shrinkToFit="0" vertical="center" wrapText="1"/>
    </xf>
    <xf borderId="5" fillId="8" fontId="17" numFmtId="2" xfId="0" applyAlignment="1" applyBorder="1" applyFill="1" applyFont="1" applyNumberFormat="1">
      <alignment horizontal="center" shrinkToFit="0" vertical="center" wrapText="1"/>
    </xf>
    <xf borderId="5" fillId="4" fontId="18" numFmtId="0" xfId="0" applyAlignment="1" applyBorder="1" applyFill="1" applyFont="1">
      <alignment horizontal="left" shrinkToFit="0" vertical="center" wrapText="1"/>
    </xf>
    <xf borderId="5" fillId="5" fontId="14" numFmtId="164" xfId="0" applyAlignment="1" applyBorder="1" applyFill="1" applyFont="1" applyNumberFormat="1">
      <alignment horizontal="center" shrinkToFit="0" vertical="center" wrapText="1"/>
    </xf>
    <xf borderId="5" fillId="5" fontId="18" numFmtId="0" xfId="0" applyAlignment="1" applyBorder="1" applyFill="1" applyFont="1">
      <alignment horizontal="left" shrinkToFit="0" vertical="center" wrapText="1"/>
    </xf>
    <xf borderId="5" fillId="5" fontId="19" numFmtId="0" xfId="0" applyAlignment="1" applyBorder="1" applyFill="1" applyFont="1">
      <alignment horizontal="left" shrinkToFit="0" vertical="center" wrapText="1"/>
    </xf>
    <xf borderId="5" fillId="5" fontId="18" numFmtId="0" xfId="0" applyAlignment="1" applyBorder="1" applyFill="1" applyFont="1">
      <alignment horizontal="left" readingOrder="0" shrinkToFit="0" vertical="center" wrapText="1"/>
    </xf>
    <xf borderId="5" fillId="5" fontId="8" numFmtId="0" xfId="0" applyAlignment="1" applyBorder="1" applyFill="1" applyFont="1">
      <alignment horizontal="left" readingOrder="0" shrinkToFit="0" vertical="center" wrapText="1"/>
    </xf>
    <xf borderId="5" fillId="7" fontId="15" numFmtId="0" xfId="0" applyAlignment="1" applyBorder="1" applyFill="1" applyFont="1">
      <alignment horizontal="center" readingOrder="0" shrinkToFit="0" vertical="center" wrapText="1"/>
    </xf>
    <xf borderId="5" fillId="7" fontId="8" numFmtId="1" xfId="0" applyAlignment="1" applyBorder="1" applyFill="1" applyFont="1" applyNumberFormat="1">
      <alignment horizontal="center" readingOrder="0" shrinkToFit="0" vertical="center" wrapText="1"/>
    </xf>
    <xf borderId="5" fillId="7" fontId="16" numFmtId="0" xfId="0" applyAlignment="1" applyBorder="1" applyFill="1" applyFont="1">
      <alignment horizontal="center" readingOrder="0" shrinkToFit="0" vertical="center" wrapText="1"/>
    </xf>
    <xf borderId="5" fillId="8" fontId="8" numFmtId="1" xfId="0" applyAlignment="1" applyBorder="1" applyFill="1" applyFont="1" applyNumberFormat="1">
      <alignment horizontal="center" readingOrder="0" shrinkToFit="0" vertical="center" wrapText="1"/>
    </xf>
    <xf borderId="5" fillId="7" fontId="8" numFmtId="0" xfId="0" applyBorder="1" applyFill="1" applyFont="1"/>
    <xf borderId="6" fillId="2" fontId="2" numFmtId="1" xfId="0" applyAlignment="1" applyBorder="1" applyFill="1" applyFont="1" applyNumberFormat="1">
      <alignment horizontal="center" shrinkToFit="0" vertical="center" wrapText="1"/>
    </xf>
    <xf borderId="7" fillId="0" fontId="6" numFmtId="0" xfId="0" applyBorder="1" applyFont="1"/>
    <xf borderId="6" fillId="2" fontId="2" numFmtId="164" xfId="0" applyAlignment="1" applyBorder="1" applyFill="1" applyFont="1" applyNumberFormat="1">
      <alignment horizontal="center" shrinkToFit="0" vertical="center" wrapText="1"/>
    </xf>
    <xf borderId="8" fillId="0" fontId="6" numFmtId="0" xfId="0" applyBorder="1" applyFont="1"/>
    <xf borderId="2" fillId="2" fontId="20" numFmtId="0" xfId="0" applyAlignment="1" applyBorder="1" applyFill="1" applyFont="1">
      <alignment horizontal="center" shrinkToFit="0" vertical="center" wrapText="1"/>
    </xf>
    <xf borderId="0" fillId="0" fontId="16" numFmtId="0" xfId="0" applyAlignment="1" applyFont="1">
      <alignment horizontal="left" shrinkToFit="0" vertical="center" wrapText="1"/>
    </xf>
    <xf borderId="5" fillId="5" fontId="21" numFmtId="0" xfId="0" applyAlignment="1" applyBorder="1" applyFill="1" applyFont="1">
      <alignment horizontal="center" readingOrder="0" shrinkToFit="0" vertical="center" wrapText="1"/>
    </xf>
    <xf borderId="5" fillId="5" fontId="15" numFmtId="0" xfId="0" applyAlignment="1" applyBorder="1" applyFill="1" applyFont="1">
      <alignment horizontal="center" readingOrder="0" shrinkToFit="0" vertical="center" wrapText="1"/>
    </xf>
    <xf borderId="5" fillId="7" fontId="8" numFmtId="0" xfId="0" applyAlignment="1" applyBorder="1" applyFill="1" applyFont="1">
      <alignment horizontal="center" readingOrder="0" shrinkToFit="0" vertical="center" wrapText="1"/>
    </xf>
    <xf borderId="0" fillId="5" fontId="8" numFmtId="0" xfId="0" applyAlignment="1" applyFill="1" applyFont="1">
      <alignment horizontal="left" readingOrder="0" shrinkToFit="0" vertical="center" wrapText="1"/>
    </xf>
    <xf borderId="0" fillId="7" fontId="15" numFmtId="0" xfId="0" applyAlignment="1" applyFill="1" applyFont="1">
      <alignment horizontal="center" readingOrder="0" shrinkToFit="0" vertical="center" wrapText="1"/>
    </xf>
    <xf borderId="0" fillId="7" fontId="8" numFmtId="0" xfId="0" applyAlignment="1" applyFill="1" applyFont="1">
      <alignment horizontal="center" readingOrder="0" shrinkToFit="0" vertical="center" wrapText="1"/>
    </xf>
    <xf borderId="0" fillId="7" fontId="16" numFmtId="0" xfId="0" applyAlignment="1" applyFill="1" applyFont="1">
      <alignment horizontal="center" readingOrder="0" shrinkToFit="0" vertical="center" wrapText="1"/>
    </xf>
    <xf borderId="0" fillId="8" fontId="8" numFmtId="1" xfId="0" applyAlignment="1" applyFill="1" applyFont="1" applyNumberFormat="1">
      <alignment horizontal="center" readingOrder="0" shrinkToFit="0" vertical="center" wrapText="1"/>
    </xf>
    <xf borderId="0" fillId="5" fontId="15" numFmtId="0" xfId="0" applyAlignment="1" applyFill="1" applyFont="1">
      <alignment horizontal="center" readingOrder="0" shrinkToFit="0" vertical="center" wrapText="1"/>
    </xf>
    <xf borderId="6" fillId="2" fontId="13" numFmtId="0" xfId="0" applyAlignment="1" applyBorder="1" applyFill="1" applyFont="1">
      <alignment horizontal="center" shrinkToFit="0" vertical="center" wrapText="1"/>
    </xf>
    <xf borderId="5" fillId="2" fontId="22" numFmtId="164" xfId="0" applyAlignment="1" applyBorder="1" applyFill="1" applyFont="1" applyNumberFormat="1">
      <alignment horizontal="center" shrinkToFit="0" vertical="center" wrapText="1"/>
    </xf>
    <xf borderId="5" fillId="2" fontId="22" numFmtId="9" xfId="0" applyAlignment="1" applyBorder="1" applyFill="1" applyFont="1" applyNumberFormat="1">
      <alignment horizontal="center" shrinkToFit="0" vertical="center" wrapText="1"/>
    </xf>
    <xf borderId="0" fillId="0" fontId="16" numFmtId="0" xfId="0" applyFont="1"/>
    <xf borderId="5" fillId="6" fontId="23" numFmtId="0" xfId="0" applyAlignment="1" applyBorder="1" applyFill="1" applyFont="1">
      <alignment horizontal="center" shrinkToFit="0" vertical="center" wrapText="1"/>
    </xf>
    <xf borderId="0" fillId="0" fontId="8" numFmtId="0" xfId="0" applyFont="1"/>
    <xf borderId="5" fillId="4" fontId="18" numFmtId="0" xfId="0" applyAlignment="1" applyBorder="1" applyFill="1" applyFont="1">
      <alignment horizontal="left" readingOrder="0" shrinkToFit="0" vertical="center" wrapText="1"/>
    </xf>
    <xf borderId="0" fillId="0" fontId="24" numFmtId="0" xfId="0" applyAlignment="1" applyFont="1">
      <alignment readingOrder="0" shrinkToFit="0" wrapText="1"/>
    </xf>
    <xf borderId="5" fillId="6" fontId="16" numFmtId="0" xfId="0" applyAlignment="1" applyBorder="1" applyFill="1" applyFont="1">
      <alignment horizontal="center" shrinkToFit="0" vertical="center" wrapText="1"/>
    </xf>
    <xf borderId="5" fillId="6" fontId="8" numFmtId="1" xfId="0" applyAlignment="1" applyBorder="1" applyFill="1" applyFont="1" applyNumberFormat="1">
      <alignment horizontal="center" shrinkToFit="0" vertical="center" wrapText="1"/>
    </xf>
    <xf borderId="5" fillId="6" fontId="18"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55.86"/>
    <col customWidth="1" min="3" max="8" width="8.71"/>
  </cols>
  <sheetData>
    <row r="1" ht="48.0" customHeight="1">
      <c r="A1" s="1"/>
      <c r="B1" s="2" t="s">
        <v>2</v>
      </c>
      <c r="C1" s="3"/>
      <c r="D1" s="3"/>
      <c r="E1" s="3"/>
      <c r="F1" s="3"/>
      <c r="G1" s="3"/>
      <c r="H1" s="3"/>
    </row>
    <row r="2" ht="6.0" customHeight="1">
      <c r="A2" s="3"/>
      <c r="B2" s="9"/>
      <c r="C2" s="3"/>
      <c r="D2" s="3"/>
      <c r="E2" s="3"/>
      <c r="F2" s="3"/>
      <c r="G2" s="3"/>
      <c r="H2" s="3"/>
    </row>
    <row r="3" ht="45.0" customHeight="1">
      <c r="A3" s="3"/>
      <c r="B3" s="3"/>
      <c r="C3" s="3"/>
      <c r="D3" s="3"/>
      <c r="E3" s="3"/>
      <c r="F3" s="3"/>
      <c r="G3" s="3"/>
      <c r="H3" s="3"/>
    </row>
    <row r="4" ht="27.75" customHeight="1">
      <c r="A4" s="3"/>
      <c r="B4" s="10" t="s">
        <v>4</v>
      </c>
      <c r="C4" s="3"/>
      <c r="D4" s="3"/>
      <c r="E4" s="3"/>
      <c r="F4" s="3"/>
      <c r="G4" s="3"/>
      <c r="H4" s="3"/>
    </row>
    <row r="5" ht="31.5" customHeight="1">
      <c r="A5" s="3"/>
      <c r="B5" s="12" t="s">
        <v>5</v>
      </c>
      <c r="C5" s="3"/>
      <c r="D5" s="3"/>
      <c r="E5" s="3"/>
      <c r="F5" s="3"/>
      <c r="G5" s="3"/>
      <c r="H5" s="3"/>
    </row>
    <row r="6" ht="31.5" customHeight="1">
      <c r="A6" s="3"/>
      <c r="B6" s="13" t="s">
        <v>6</v>
      </c>
      <c r="C6" s="3"/>
      <c r="D6" s="3"/>
      <c r="E6" s="3"/>
      <c r="F6" s="3"/>
      <c r="G6" s="3"/>
      <c r="H6" s="3"/>
    </row>
    <row r="7" ht="42.75" customHeight="1">
      <c r="A7" s="3"/>
      <c r="B7" s="12" t="s">
        <v>9</v>
      </c>
      <c r="C7" s="3"/>
      <c r="D7" s="3"/>
      <c r="E7" s="3"/>
      <c r="F7" s="3"/>
      <c r="G7" s="3"/>
      <c r="H7" s="3"/>
    </row>
    <row r="8" ht="84.75" customHeight="1">
      <c r="A8" s="3"/>
      <c r="B8" s="13" t="s">
        <v>15</v>
      </c>
      <c r="C8" s="3"/>
      <c r="D8" s="3"/>
      <c r="E8" s="3"/>
      <c r="F8" s="3"/>
      <c r="G8" s="3"/>
      <c r="H8" s="3"/>
    </row>
    <row r="9" ht="31.5" customHeight="1">
      <c r="A9" s="3"/>
      <c r="B9" s="12" t="s">
        <v>18</v>
      </c>
      <c r="C9" s="3"/>
      <c r="D9" s="3"/>
      <c r="E9" s="3"/>
      <c r="F9" s="3"/>
      <c r="G9" s="3"/>
      <c r="H9" s="3"/>
    </row>
    <row r="10" ht="61.5" customHeight="1">
      <c r="A10" s="3"/>
      <c r="B10" s="13" t="s">
        <v>22</v>
      </c>
      <c r="C10" s="3"/>
      <c r="D10" s="3"/>
      <c r="E10" s="3"/>
      <c r="F10" s="3"/>
      <c r="G10" s="3"/>
      <c r="H10" s="3"/>
    </row>
    <row r="11" ht="31.5" customHeight="1">
      <c r="A11" s="3"/>
      <c r="B11" s="12" t="s">
        <v>25</v>
      </c>
      <c r="C11" s="3"/>
      <c r="D11" s="3"/>
      <c r="E11" s="3"/>
      <c r="F11" s="3"/>
      <c r="G11" s="3"/>
      <c r="H11" s="3"/>
    </row>
    <row r="12">
      <c r="A12" s="3"/>
      <c r="B12" s="3"/>
      <c r="C12" s="3"/>
      <c r="D12" s="3"/>
      <c r="E12" s="3"/>
      <c r="F12" s="3"/>
      <c r="G12" s="3"/>
      <c r="H12" s="3"/>
    </row>
    <row r="13" ht="7.5" customHeight="1">
      <c r="A13" s="3"/>
      <c r="B13" s="9"/>
      <c r="C13" s="3"/>
      <c r="D13" s="3"/>
      <c r="E13" s="3"/>
      <c r="F13" s="3"/>
      <c r="G13" s="3"/>
      <c r="H13" s="3"/>
    </row>
    <row r="14" ht="58.5" customHeight="1">
      <c r="A14" s="3"/>
      <c r="B14" s="2" t="s">
        <v>26</v>
      </c>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8.0"/>
    <col customWidth="1" min="4" max="4" width="14.0"/>
    <col customWidth="1" min="5" max="6" width="16.0"/>
    <col customWidth="1" min="7" max="8" width="14.0"/>
  </cols>
  <sheetData>
    <row r="1" ht="43.5" customHeight="1">
      <c r="B1" s="5" t="s">
        <v>1</v>
      </c>
      <c r="C1" s="7"/>
      <c r="D1" s="7"/>
      <c r="E1" s="7"/>
      <c r="F1" s="7"/>
      <c r="G1" s="7"/>
      <c r="H1" s="8"/>
    </row>
    <row r="2" ht="6.0" customHeight="1">
      <c r="B2" s="11"/>
      <c r="C2" s="7"/>
      <c r="D2" s="7"/>
      <c r="E2" s="7"/>
      <c r="F2" s="7"/>
      <c r="G2" s="7"/>
      <c r="H2" s="8"/>
    </row>
    <row r="3" ht="36.0" customHeight="1">
      <c r="B3" s="15" t="s">
        <v>7</v>
      </c>
      <c r="C3" s="15" t="s">
        <v>11</v>
      </c>
      <c r="D3" s="15" t="s">
        <v>14</v>
      </c>
      <c r="E3" s="15" t="s">
        <v>16</v>
      </c>
      <c r="F3" s="15" t="s">
        <v>17</v>
      </c>
      <c r="G3" s="15" t="s">
        <v>19</v>
      </c>
      <c r="H3" s="15" t="s">
        <v>20</v>
      </c>
    </row>
    <row r="4" ht="21.75" customHeight="1">
      <c r="B4" s="18" t="s">
        <v>23</v>
      </c>
      <c r="C4" s="20">
        <v>5.0</v>
      </c>
      <c r="D4" s="24">
        <f>COMUNICACIONES!B25</f>
        <v>8</v>
      </c>
      <c r="E4" s="24">
        <f>COMUNICACIONES!D25</f>
        <v>51.25</v>
      </c>
      <c r="F4" s="24">
        <f>COMUNICACIONES!F25</f>
        <v>10.68333333</v>
      </c>
      <c r="G4" s="30">
        <f t="shared" ref="G4:G24" si="1">IFERROR(E4-F4,0)</f>
        <v>40.56666667</v>
      </c>
      <c r="H4" s="32">
        <f t="shared" ref="H4:H24" si="2">IFERROR(IF(E4&gt;0,(E4-F4)/E4,0),0)</f>
        <v>0.7915447154</v>
      </c>
    </row>
    <row r="5" ht="21.75" customHeight="1">
      <c r="B5" s="33" t="s">
        <v>46</v>
      </c>
      <c r="C5" s="34">
        <v>3.0</v>
      </c>
      <c r="D5" s="37">
        <f>MERCADEO!B20</f>
        <v>0</v>
      </c>
      <c r="E5" s="37">
        <f>MERCADEO!D20</f>
        <v>0</v>
      </c>
      <c r="F5" s="37">
        <f>MERCADEO!F20</f>
        <v>0</v>
      </c>
      <c r="G5" s="30">
        <f t="shared" si="1"/>
        <v>0</v>
      </c>
      <c r="H5" s="32">
        <f t="shared" si="2"/>
        <v>0</v>
      </c>
    </row>
    <row r="6" ht="21.75" customHeight="1">
      <c r="B6" s="18" t="s">
        <v>54</v>
      </c>
      <c r="C6" s="20">
        <v>2.0</v>
      </c>
      <c r="D6" s="24">
        <f>'AGENCIA DE EMPLEO'!B20</f>
        <v>6</v>
      </c>
      <c r="E6" s="24">
        <f>'AGENCIA DE EMPLEO'!D20</f>
        <v>28.95</v>
      </c>
      <c r="F6" s="24">
        <f>'AGENCIA DE EMPLEO'!F20</f>
        <v>12.11666667</v>
      </c>
      <c r="G6" s="30">
        <f t="shared" si="1"/>
        <v>16.83333333</v>
      </c>
      <c r="H6" s="32">
        <f t="shared" si="2"/>
        <v>0.5814622913</v>
      </c>
    </row>
    <row r="7" ht="21.75" customHeight="1">
      <c r="B7" s="33" t="s">
        <v>65</v>
      </c>
      <c r="C7" s="34">
        <v>2.0</v>
      </c>
      <c r="D7" s="37">
        <f>'TALENTO HUMANO'!B20</f>
        <v>1</v>
      </c>
      <c r="E7" s="37">
        <f>'TALENTO HUMANO'!D20</f>
        <v>0.3333333333</v>
      </c>
      <c r="F7" s="37">
        <f>'TALENTO HUMANO'!F20</f>
        <v>0.05</v>
      </c>
      <c r="G7" s="30">
        <f t="shared" si="1"/>
        <v>0.2833333333</v>
      </c>
      <c r="H7" s="32">
        <f t="shared" si="2"/>
        <v>0.85</v>
      </c>
    </row>
    <row r="8" ht="21.75" customHeight="1">
      <c r="B8" s="18" t="s">
        <v>73</v>
      </c>
      <c r="C8" s="20">
        <v>5.0</v>
      </c>
      <c r="D8" s="24">
        <f>PLANEACION!B20</f>
        <v>0</v>
      </c>
      <c r="E8" s="24">
        <f>PLANEACION!D20</f>
        <v>0</v>
      </c>
      <c r="F8" s="24">
        <f>PLANEACION!F20</f>
        <v>0</v>
      </c>
      <c r="G8" s="30">
        <f t="shared" si="1"/>
        <v>0</v>
      </c>
      <c r="H8" s="32">
        <f t="shared" si="2"/>
        <v>0</v>
      </c>
    </row>
    <row r="9" ht="21.75" customHeight="1">
      <c r="B9" s="33" t="s">
        <v>86</v>
      </c>
      <c r="C9" s="34">
        <v>2.0</v>
      </c>
      <c r="D9" s="37">
        <f>CONTABILIDAD!B20</f>
        <v>4</v>
      </c>
      <c r="E9" s="37">
        <f>CONTABILIDAD!D20</f>
        <v>15</v>
      </c>
      <c r="F9" s="37">
        <f>CONTABILIDAD!F20</f>
        <v>3.75</v>
      </c>
      <c r="G9" s="30">
        <f t="shared" si="1"/>
        <v>11.25</v>
      </c>
      <c r="H9" s="32">
        <f t="shared" si="2"/>
        <v>0.75</v>
      </c>
    </row>
    <row r="10" ht="21.75" customHeight="1">
      <c r="B10" s="18" t="s">
        <v>96</v>
      </c>
      <c r="C10" s="20">
        <v>2.0</v>
      </c>
      <c r="D10" s="24">
        <f>TESORERIA!B20</f>
        <v>0</v>
      </c>
      <c r="E10" s="24">
        <f>TESORERIA!D20</f>
        <v>0</v>
      </c>
      <c r="F10" s="24">
        <f>TESORERIA!F20</f>
        <v>0</v>
      </c>
      <c r="G10" s="30">
        <f t="shared" si="1"/>
        <v>0</v>
      </c>
      <c r="H10" s="32">
        <f t="shared" si="2"/>
        <v>0</v>
      </c>
    </row>
    <row r="11" ht="21.75" customHeight="1">
      <c r="B11" s="33" t="s">
        <v>110</v>
      </c>
      <c r="C11" s="34">
        <v>3.0</v>
      </c>
      <c r="D11" s="37">
        <f>'GERENCIA FINANCIERA'!B20</f>
        <v>0</v>
      </c>
      <c r="E11" s="37">
        <f>'GERENCIA FINANCIERA'!D20</f>
        <v>0</v>
      </c>
      <c r="F11" s="37">
        <f>'GERENCIA FINANCIERA'!F20</f>
        <v>0</v>
      </c>
      <c r="G11" s="30">
        <f t="shared" si="1"/>
        <v>0</v>
      </c>
      <c r="H11" s="32">
        <f t="shared" si="2"/>
        <v>0</v>
      </c>
    </row>
    <row r="12" ht="21.75" customHeight="1">
      <c r="B12" s="18" t="s">
        <v>119</v>
      </c>
      <c r="C12" s="20">
        <v>2.0</v>
      </c>
      <c r="D12" s="24">
        <f>'SUB ADMIN FINANCIERA'!B20</f>
        <v>6</v>
      </c>
      <c r="E12" s="24">
        <f>'SUB ADMIN FINANCIERA'!D20</f>
        <v>10.91666667</v>
      </c>
      <c r="F12" s="24">
        <f>'SUB ADMIN FINANCIERA'!F20</f>
        <v>0.8333333333</v>
      </c>
      <c r="G12" s="30">
        <f t="shared" si="1"/>
        <v>10.08333333</v>
      </c>
      <c r="H12" s="32">
        <f t="shared" si="2"/>
        <v>0.9236641221</v>
      </c>
    </row>
    <row r="13" ht="21.75" customHeight="1">
      <c r="B13" s="33" t="s">
        <v>10</v>
      </c>
      <c r="C13" s="34">
        <v>2.0</v>
      </c>
      <c r="D13" s="37">
        <f>JURIDICA!B32</f>
        <v>19</v>
      </c>
      <c r="E13" s="37">
        <f>JURIDICA!D32</f>
        <v>96.83333333</v>
      </c>
      <c r="F13" s="37">
        <f>JURIDICA!F32</f>
        <v>2.233333333</v>
      </c>
      <c r="G13" s="30">
        <f t="shared" si="1"/>
        <v>94.6</v>
      </c>
      <c r="H13" s="32">
        <f t="shared" si="2"/>
        <v>0.9769363167</v>
      </c>
    </row>
    <row r="14" ht="21.75" customHeight="1">
      <c r="B14" s="18" t="s">
        <v>127</v>
      </c>
      <c r="C14" s="20">
        <v>3.0</v>
      </c>
      <c r="D14" s="24">
        <f>CUMPLIMIENTO!B20</f>
        <v>1</v>
      </c>
      <c r="E14" s="24">
        <f>CUMPLIMIENTO!D20</f>
        <v>0.5333333333</v>
      </c>
      <c r="F14" s="24">
        <f>CUMPLIMIENTO!F20</f>
        <v>0</v>
      </c>
      <c r="G14" s="30">
        <f t="shared" si="1"/>
        <v>0.5333333333</v>
      </c>
      <c r="H14" s="32">
        <f t="shared" si="2"/>
        <v>1</v>
      </c>
    </row>
    <row r="15" ht="21.75" customHeight="1">
      <c r="B15" s="33" t="s">
        <v>129</v>
      </c>
      <c r="C15" s="34">
        <v>2.0</v>
      </c>
      <c r="D15" s="37">
        <f>'SUB OPERATIVA'!B20</f>
        <v>4</v>
      </c>
      <c r="E15" s="37">
        <f>'SUB OPERATIVA'!D20</f>
        <v>28.16666667</v>
      </c>
      <c r="F15" s="37">
        <f>'SUB OPERATIVA'!F20</f>
        <v>1.366666667</v>
      </c>
      <c r="G15" s="30">
        <f t="shared" si="1"/>
        <v>26.8</v>
      </c>
      <c r="H15" s="32">
        <f t="shared" si="2"/>
        <v>0.9514792899</v>
      </c>
    </row>
    <row r="16" ht="21.75" customHeight="1">
      <c r="B16" s="18" t="s">
        <v>132</v>
      </c>
      <c r="C16" s="20">
        <v>1.0</v>
      </c>
      <c r="D16" s="24">
        <f>TECNOLOGIA!B20</f>
        <v>5</v>
      </c>
      <c r="E16" s="24">
        <f>TECNOLOGIA!D20</f>
        <v>2.166666667</v>
      </c>
      <c r="F16" s="24">
        <f>TECNOLOGIA!F20</f>
        <v>0.3333333333</v>
      </c>
      <c r="G16" s="30">
        <f t="shared" si="1"/>
        <v>1.833333333</v>
      </c>
      <c r="H16" s="32">
        <f t="shared" si="2"/>
        <v>0.8461538462</v>
      </c>
    </row>
    <row r="17" ht="21.75" customHeight="1">
      <c r="B17" s="33" t="s">
        <v>139</v>
      </c>
      <c r="C17" s="34">
        <v>3.0</v>
      </c>
      <c r="D17" s="37">
        <f>SUBSIDIO!B20</f>
        <v>4</v>
      </c>
      <c r="E17" s="37">
        <f>SUBSIDIO!D20</f>
        <v>75</v>
      </c>
      <c r="F17" s="37">
        <f>SUBSIDIO!F20</f>
        <v>4.083333333</v>
      </c>
      <c r="G17" s="30">
        <f t="shared" si="1"/>
        <v>70.91666667</v>
      </c>
      <c r="H17" s="32">
        <f t="shared" si="2"/>
        <v>0.9455555556</v>
      </c>
    </row>
    <row r="18" ht="21.75" customHeight="1">
      <c r="B18" s="18" t="s">
        <v>143</v>
      </c>
      <c r="C18" s="20">
        <v>1.0</v>
      </c>
      <c r="D18" s="24">
        <f>IPS!B20</f>
        <v>1</v>
      </c>
      <c r="E18" s="24">
        <f>IPS!D20</f>
        <v>106.6666667</v>
      </c>
      <c r="F18" s="24">
        <f>IPS!F20</f>
        <v>8</v>
      </c>
      <c r="G18" s="30">
        <f t="shared" si="1"/>
        <v>98.66666667</v>
      </c>
      <c r="H18" s="32">
        <f t="shared" si="2"/>
        <v>0.925</v>
      </c>
    </row>
    <row r="19" ht="21.75" customHeight="1">
      <c r="B19" s="33" t="s">
        <v>148</v>
      </c>
      <c r="C19" s="34">
        <v>1.0</v>
      </c>
      <c r="D19" s="37">
        <f>PRESUPUESTO!B20</f>
        <v>0</v>
      </c>
      <c r="E19" s="37">
        <f>PRESUPUESTO!D20</f>
        <v>0</v>
      </c>
      <c r="F19" s="37">
        <f>PRESUPUESTO!F20</f>
        <v>0</v>
      </c>
      <c r="G19" s="30">
        <f t="shared" si="1"/>
        <v>0</v>
      </c>
      <c r="H19" s="32">
        <f t="shared" si="2"/>
        <v>0</v>
      </c>
    </row>
    <row r="20" ht="21.75" customHeight="1">
      <c r="B20" s="18" t="s">
        <v>121</v>
      </c>
      <c r="C20" s="20">
        <v>2.0</v>
      </c>
      <c r="D20" s="24">
        <f>VIVIENDA!B21</f>
        <v>8</v>
      </c>
      <c r="E20" s="24">
        <f>VIVIENDA!D21</f>
        <v>11.83333333</v>
      </c>
      <c r="F20" s="24">
        <f>VIVIENDA!F21</f>
        <v>2.083333333</v>
      </c>
      <c r="G20" s="30">
        <f t="shared" si="1"/>
        <v>9.75</v>
      </c>
      <c r="H20" s="32">
        <f t="shared" si="2"/>
        <v>0.823943662</v>
      </c>
    </row>
    <row r="21" ht="21.75" customHeight="1">
      <c r="B21" s="33" t="s">
        <v>150</v>
      </c>
      <c r="C21" s="34">
        <v>2.0</v>
      </c>
      <c r="D21" s="37">
        <f>EDUCACION!B20</f>
        <v>0</v>
      </c>
      <c r="E21" s="37">
        <f>EDUCACION!D20</f>
        <v>0</v>
      </c>
      <c r="F21" s="37">
        <f>EDUCACION!F20</f>
        <v>0</v>
      </c>
      <c r="G21" s="30">
        <f t="shared" si="1"/>
        <v>0</v>
      </c>
      <c r="H21" s="32">
        <f t="shared" si="2"/>
        <v>0</v>
      </c>
    </row>
    <row r="22" ht="21.75" customHeight="1">
      <c r="B22" s="18" t="s">
        <v>12</v>
      </c>
      <c r="C22" s="20">
        <v>2.0</v>
      </c>
      <c r="D22" s="24">
        <f>'SERVICIOS SOCIALES'!B31</f>
        <v>14</v>
      </c>
      <c r="E22" s="24">
        <f>'SERVICIOS SOCIALES'!D31</f>
        <v>346</v>
      </c>
      <c r="F22" s="24">
        <f>'SERVICIOS SOCIALES'!F31</f>
        <v>19.5</v>
      </c>
      <c r="G22" s="30">
        <f t="shared" si="1"/>
        <v>326.5</v>
      </c>
      <c r="H22" s="32">
        <f t="shared" si="2"/>
        <v>0.9436416185</v>
      </c>
    </row>
    <row r="23" ht="21.75" customHeight="1">
      <c r="B23" s="33" t="s">
        <v>151</v>
      </c>
      <c r="C23" s="34">
        <v>1.0</v>
      </c>
      <c r="D23" s="37">
        <f>'DIRECCION ADMIN'!B20</f>
        <v>0</v>
      </c>
      <c r="E23" s="37">
        <f>'DIRECCION ADMIN'!D20</f>
        <v>0</v>
      </c>
      <c r="F23" s="37">
        <f>'DIRECCION ADMIN'!F20</f>
        <v>0</v>
      </c>
      <c r="G23" s="30">
        <f t="shared" si="1"/>
        <v>0</v>
      </c>
      <c r="H23" s="32">
        <f t="shared" si="2"/>
        <v>0</v>
      </c>
    </row>
    <row r="24" ht="21.75" customHeight="1">
      <c r="B24" s="18" t="s">
        <v>152</v>
      </c>
      <c r="C24" s="20">
        <v>1.0</v>
      </c>
      <c r="D24" s="24">
        <f>CREDITO!B20</f>
        <v>0</v>
      </c>
      <c r="E24" s="24">
        <f>CREDITO!D20</f>
        <v>0</v>
      </c>
      <c r="F24" s="24">
        <f>CREDITO!F20</f>
        <v>0</v>
      </c>
      <c r="G24" s="30">
        <f t="shared" si="1"/>
        <v>0</v>
      </c>
      <c r="H24" s="32">
        <f t="shared" si="2"/>
        <v>0</v>
      </c>
    </row>
    <row r="25" ht="27.75" customHeight="1">
      <c r="B25" s="62" t="s">
        <v>153</v>
      </c>
      <c r="C25" s="48"/>
      <c r="D25" s="63">
        <f t="shared" ref="D25:H25" si="3">SUM(D4:D24)</f>
        <v>81</v>
      </c>
      <c r="E25" s="63">
        <f t="shared" si="3"/>
        <v>773.65</v>
      </c>
      <c r="F25" s="63">
        <f t="shared" si="3"/>
        <v>65.03333333</v>
      </c>
      <c r="G25" s="63">
        <f t="shared" si="3"/>
        <v>708.6166667</v>
      </c>
      <c r="H25" s="64">
        <f t="shared" si="3"/>
        <v>11.30938142</v>
      </c>
    </row>
    <row r="26" ht="15.75" customHeight="1"/>
    <row r="27" ht="27.75" customHeight="1">
      <c r="B27" s="65" t="s">
        <v>154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H1"/>
    <mergeCell ref="B2:H2"/>
    <mergeCell ref="B25:C25"/>
    <mergeCell ref="B27:H2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46.43"/>
  </cols>
  <sheetData>
    <row r="1" ht="39.75" customHeight="1">
      <c r="B1" s="4"/>
      <c r="C1" s="4"/>
      <c r="D1" s="4"/>
      <c r="E1" s="4"/>
      <c r="F1" s="4"/>
      <c r="G1" s="4"/>
      <c r="H1" s="4"/>
      <c r="I1" s="4"/>
      <c r="J1" s="4"/>
    </row>
    <row r="2" ht="39.75" customHeight="1">
      <c r="B2" s="6" t="s">
        <v>3</v>
      </c>
      <c r="C2" s="7"/>
      <c r="D2" s="7"/>
      <c r="E2" s="7"/>
      <c r="F2" s="7"/>
      <c r="G2" s="7"/>
      <c r="H2" s="7"/>
      <c r="I2" s="7"/>
      <c r="J2" s="8"/>
    </row>
    <row r="3" ht="4.5" customHeight="1">
      <c r="B3" s="11"/>
      <c r="C3" s="7"/>
      <c r="D3" s="7"/>
      <c r="E3" s="7"/>
      <c r="F3" s="7"/>
      <c r="G3" s="7"/>
      <c r="H3" s="7"/>
      <c r="I3" s="7"/>
      <c r="J3" s="8"/>
    </row>
    <row r="4" ht="21.75" customHeight="1">
      <c r="B4" s="14" t="s">
        <v>8</v>
      </c>
      <c r="C4" s="16" t="s">
        <v>10</v>
      </c>
      <c r="E4" s="14" t="s">
        <v>13</v>
      </c>
      <c r="F4" s="17"/>
      <c r="H4" s="14" t="s">
        <v>21</v>
      </c>
      <c r="I4" s="17"/>
    </row>
    <row r="5" ht="21.75" customHeight="1">
      <c r="B5" s="19" t="s">
        <v>24</v>
      </c>
      <c r="C5" s="7"/>
      <c r="D5" s="7"/>
      <c r="E5" s="7"/>
      <c r="F5" s="7"/>
      <c r="G5" s="7"/>
      <c r="H5" s="7"/>
      <c r="I5" s="7"/>
      <c r="J5" s="8"/>
    </row>
    <row r="6" ht="54.75" customHeight="1">
      <c r="B6" s="21" t="s">
        <v>27</v>
      </c>
      <c r="D6" s="21" t="s">
        <v>28</v>
      </c>
      <c r="F6" s="21" t="s">
        <v>29</v>
      </c>
    </row>
    <row r="9" ht="21.75" customHeight="1">
      <c r="B9" s="22" t="s">
        <v>30</v>
      </c>
      <c r="C9" s="7"/>
      <c r="D9" s="7"/>
      <c r="E9" s="7"/>
      <c r="F9" s="7"/>
      <c r="G9" s="7"/>
      <c r="H9" s="7"/>
      <c r="I9" s="7"/>
      <c r="J9" s="8"/>
    </row>
    <row r="10" ht="36.0" customHeight="1">
      <c r="B10" s="23" t="s">
        <v>32</v>
      </c>
      <c r="C10" s="23" t="s">
        <v>34</v>
      </c>
      <c r="D10" s="23" t="s">
        <v>35</v>
      </c>
      <c r="E10" s="23" t="s">
        <v>36</v>
      </c>
      <c r="F10" s="23" t="s">
        <v>37</v>
      </c>
      <c r="G10" s="23" t="s">
        <v>38</v>
      </c>
      <c r="H10" s="23" t="s">
        <v>20</v>
      </c>
      <c r="I10" s="23" t="s">
        <v>39</v>
      </c>
      <c r="J10" s="23" t="s">
        <v>40</v>
      </c>
    </row>
    <row r="11" ht="69.75" customHeight="1">
      <c r="B11" s="25" t="s">
        <v>41</v>
      </c>
      <c r="C11" s="26" t="s">
        <v>42</v>
      </c>
      <c r="D11" s="27">
        <v>30.0</v>
      </c>
      <c r="E11" s="28" t="s">
        <v>43</v>
      </c>
      <c r="F11" s="29">
        <v>4.0</v>
      </c>
      <c r="G11" s="31">
        <f t="shared" ref="G11:G29" si="1">IFERROR(D11-F11,"")</f>
        <v>26</v>
      </c>
      <c r="H11" s="32">
        <f t="shared" ref="H11:H29" si="2">IFERROR(IF(D11&gt;0,(D11-F11)/D11,0),"")</f>
        <v>0.8666666667</v>
      </c>
      <c r="I11" s="35">
        <f t="shared" ref="I11:I29" si="3">IFERROR(G11/60,"")</f>
        <v>0.4333333333</v>
      </c>
      <c r="J11" s="36" t="s">
        <v>47</v>
      </c>
    </row>
    <row r="12" ht="66.0" customHeight="1">
      <c r="B12" s="25" t="s">
        <v>48</v>
      </c>
      <c r="C12" s="26" t="s">
        <v>49</v>
      </c>
      <c r="D12" s="27">
        <v>30.0</v>
      </c>
      <c r="E12" s="28" t="s">
        <v>43</v>
      </c>
      <c r="F12" s="29">
        <v>5.0</v>
      </c>
      <c r="G12" s="31">
        <f t="shared" si="1"/>
        <v>25</v>
      </c>
      <c r="H12" s="32">
        <f t="shared" si="2"/>
        <v>0.8333333333</v>
      </c>
      <c r="I12" s="35">
        <f t="shared" si="3"/>
        <v>0.4166666667</v>
      </c>
      <c r="J12" s="36" t="s">
        <v>51</v>
      </c>
    </row>
    <row r="13" ht="63.0" customHeight="1">
      <c r="B13" s="25" t="s">
        <v>53</v>
      </c>
      <c r="C13" s="26" t="s">
        <v>49</v>
      </c>
      <c r="D13" s="27">
        <v>45.0</v>
      </c>
      <c r="E13" s="28" t="s">
        <v>43</v>
      </c>
      <c r="F13" s="29">
        <v>10.0</v>
      </c>
      <c r="G13" s="31">
        <f t="shared" si="1"/>
        <v>35</v>
      </c>
      <c r="H13" s="32">
        <f t="shared" si="2"/>
        <v>0.7777777778</v>
      </c>
      <c r="I13" s="35">
        <f t="shared" si="3"/>
        <v>0.5833333333</v>
      </c>
      <c r="J13" s="36" t="s">
        <v>55</v>
      </c>
    </row>
    <row r="14" ht="48.0" customHeight="1">
      <c r="B14" s="25" t="s">
        <v>56</v>
      </c>
      <c r="C14" s="26" t="s">
        <v>45</v>
      </c>
      <c r="D14" s="27">
        <v>15.0</v>
      </c>
      <c r="E14" s="28" t="s">
        <v>43</v>
      </c>
      <c r="F14" s="29">
        <v>3.0</v>
      </c>
      <c r="G14" s="31">
        <f t="shared" si="1"/>
        <v>12</v>
      </c>
      <c r="H14" s="32">
        <f t="shared" si="2"/>
        <v>0.8</v>
      </c>
      <c r="I14" s="35">
        <f t="shared" si="3"/>
        <v>0.2</v>
      </c>
      <c r="J14" s="36" t="s">
        <v>58</v>
      </c>
    </row>
    <row r="15" ht="48.0" customHeight="1">
      <c r="B15" s="25" t="s">
        <v>60</v>
      </c>
      <c r="C15" s="26" t="s">
        <v>49</v>
      </c>
      <c r="D15" s="27">
        <v>30.0</v>
      </c>
      <c r="E15" s="28" t="s">
        <v>43</v>
      </c>
      <c r="F15" s="29">
        <v>5.0</v>
      </c>
      <c r="G15" s="31">
        <f t="shared" si="1"/>
        <v>25</v>
      </c>
      <c r="H15" s="32">
        <f t="shared" si="2"/>
        <v>0.8333333333</v>
      </c>
      <c r="I15" s="35">
        <f t="shared" si="3"/>
        <v>0.4166666667</v>
      </c>
      <c r="J15" s="36" t="s">
        <v>61</v>
      </c>
    </row>
    <row r="16" ht="48.0" customHeight="1">
      <c r="B16" s="25" t="s">
        <v>62</v>
      </c>
      <c r="C16" s="26" t="s">
        <v>49</v>
      </c>
      <c r="D16" s="27">
        <v>30.0</v>
      </c>
      <c r="E16" s="28" t="s">
        <v>43</v>
      </c>
      <c r="F16" s="29">
        <v>10.0</v>
      </c>
      <c r="G16" s="31">
        <f t="shared" si="1"/>
        <v>20</v>
      </c>
      <c r="H16" s="32">
        <f t="shared" si="2"/>
        <v>0.6666666667</v>
      </c>
      <c r="I16" s="35">
        <f t="shared" si="3"/>
        <v>0.3333333333</v>
      </c>
      <c r="J16" s="36" t="s">
        <v>61</v>
      </c>
    </row>
    <row r="17" ht="58.5" customHeight="1">
      <c r="B17" s="25" t="s">
        <v>66</v>
      </c>
      <c r="C17" s="26" t="s">
        <v>45</v>
      </c>
      <c r="D17" s="27">
        <v>30.0</v>
      </c>
      <c r="E17" s="28" t="s">
        <v>43</v>
      </c>
      <c r="F17" s="29">
        <v>8.0</v>
      </c>
      <c r="G17" s="31">
        <f t="shared" si="1"/>
        <v>22</v>
      </c>
      <c r="H17" s="32">
        <f t="shared" si="2"/>
        <v>0.7333333333</v>
      </c>
      <c r="I17" s="35">
        <f t="shared" si="3"/>
        <v>0.3666666667</v>
      </c>
      <c r="J17" s="36" t="s">
        <v>68</v>
      </c>
    </row>
    <row r="18" ht="36.0" customHeight="1">
      <c r="B18" s="25" t="s">
        <v>70</v>
      </c>
      <c r="C18" s="26" t="s">
        <v>71</v>
      </c>
      <c r="D18" s="27">
        <v>20.0</v>
      </c>
      <c r="E18" s="28" t="s">
        <v>43</v>
      </c>
      <c r="F18" s="29">
        <v>4.0</v>
      </c>
      <c r="G18" s="31">
        <f t="shared" si="1"/>
        <v>16</v>
      </c>
      <c r="H18" s="32">
        <f t="shared" si="2"/>
        <v>0.8</v>
      </c>
      <c r="I18" s="35">
        <f t="shared" si="3"/>
        <v>0.2666666667</v>
      </c>
      <c r="J18" s="38" t="s">
        <v>72</v>
      </c>
    </row>
    <row r="19" ht="30.75" customHeight="1">
      <c r="B19" s="25" t="s">
        <v>74</v>
      </c>
      <c r="C19" s="26" t="s">
        <v>71</v>
      </c>
      <c r="D19" s="27">
        <v>30.0</v>
      </c>
      <c r="E19" s="28" t="s">
        <v>43</v>
      </c>
      <c r="F19" s="29">
        <v>5.0</v>
      </c>
      <c r="G19" s="31">
        <f t="shared" si="1"/>
        <v>25</v>
      </c>
      <c r="H19" s="32">
        <f t="shared" si="2"/>
        <v>0.8333333333</v>
      </c>
      <c r="I19" s="35">
        <f t="shared" si="3"/>
        <v>0.4166666667</v>
      </c>
      <c r="J19" s="36" t="s">
        <v>77</v>
      </c>
    </row>
    <row r="20" ht="24.0" customHeight="1">
      <c r="B20" s="25" t="s">
        <v>78</v>
      </c>
      <c r="C20" s="26" t="s">
        <v>79</v>
      </c>
      <c r="D20" s="27">
        <v>960.0</v>
      </c>
      <c r="E20" s="28" t="s">
        <v>43</v>
      </c>
      <c r="F20" s="29">
        <v>10.0</v>
      </c>
      <c r="G20" s="31">
        <f t="shared" si="1"/>
        <v>950</v>
      </c>
      <c r="H20" s="32">
        <f t="shared" si="2"/>
        <v>0.9895833333</v>
      </c>
      <c r="I20" s="35">
        <f t="shared" si="3"/>
        <v>15.83333333</v>
      </c>
      <c r="J20" s="38" t="s">
        <v>82</v>
      </c>
    </row>
    <row r="21" ht="24.0" customHeight="1">
      <c r="B21" s="25" t="s">
        <v>83</v>
      </c>
      <c r="C21" s="26" t="s">
        <v>49</v>
      </c>
      <c r="D21" s="27">
        <v>480.0</v>
      </c>
      <c r="E21" s="28" t="s">
        <v>43</v>
      </c>
      <c r="F21" s="29">
        <v>10.0</v>
      </c>
      <c r="G21" s="31">
        <f t="shared" si="1"/>
        <v>470</v>
      </c>
      <c r="H21" s="32">
        <f t="shared" si="2"/>
        <v>0.9791666667</v>
      </c>
      <c r="I21" s="35">
        <f t="shared" si="3"/>
        <v>7.833333333</v>
      </c>
      <c r="J21" s="38" t="s">
        <v>82</v>
      </c>
    </row>
    <row r="22" ht="39.75" customHeight="1">
      <c r="B22" s="25" t="s">
        <v>87</v>
      </c>
      <c r="C22" s="26" t="s">
        <v>71</v>
      </c>
      <c r="D22" s="27">
        <v>60.0</v>
      </c>
      <c r="E22" s="28" t="s">
        <v>43</v>
      </c>
      <c r="F22" s="29">
        <v>5.0</v>
      </c>
      <c r="G22" s="31">
        <f t="shared" si="1"/>
        <v>55</v>
      </c>
      <c r="H22" s="32">
        <f t="shared" si="2"/>
        <v>0.9166666667</v>
      </c>
      <c r="I22" s="35">
        <f t="shared" si="3"/>
        <v>0.9166666667</v>
      </c>
      <c r="J22" s="38" t="s">
        <v>90</v>
      </c>
    </row>
    <row r="23" ht="39.0" customHeight="1">
      <c r="B23" s="25" t="s">
        <v>91</v>
      </c>
      <c r="C23" s="26" t="s">
        <v>71</v>
      </c>
      <c r="D23" s="27">
        <v>960.0</v>
      </c>
      <c r="E23" s="28" t="s">
        <v>43</v>
      </c>
      <c r="F23" s="29">
        <v>5.0</v>
      </c>
      <c r="G23" s="31">
        <f t="shared" si="1"/>
        <v>955</v>
      </c>
      <c r="H23" s="32">
        <f t="shared" si="2"/>
        <v>0.9947916667</v>
      </c>
      <c r="I23" s="35">
        <f t="shared" si="3"/>
        <v>15.91666667</v>
      </c>
      <c r="J23" s="36" t="s">
        <v>93</v>
      </c>
    </row>
    <row r="24" ht="45.75" customHeight="1">
      <c r="B24" s="25" t="s">
        <v>95</v>
      </c>
      <c r="C24" s="26" t="s">
        <v>49</v>
      </c>
      <c r="D24" s="27">
        <v>960.0</v>
      </c>
      <c r="E24" s="28" t="s">
        <v>43</v>
      </c>
      <c r="F24" s="29">
        <v>10.0</v>
      </c>
      <c r="G24" s="31">
        <f t="shared" si="1"/>
        <v>950</v>
      </c>
      <c r="H24" s="32">
        <f t="shared" si="2"/>
        <v>0.9895833333</v>
      </c>
      <c r="I24" s="35">
        <f t="shared" si="3"/>
        <v>15.83333333</v>
      </c>
      <c r="J24" s="36" t="s">
        <v>97</v>
      </c>
    </row>
    <row r="25" ht="45.75" customHeight="1">
      <c r="B25" s="25" t="s">
        <v>98</v>
      </c>
      <c r="C25" s="26" t="s">
        <v>42</v>
      </c>
      <c r="D25" s="27">
        <v>960.0</v>
      </c>
      <c r="E25" s="28" t="s">
        <v>43</v>
      </c>
      <c r="F25" s="29">
        <v>20.0</v>
      </c>
      <c r="G25" s="31">
        <f t="shared" si="1"/>
        <v>940</v>
      </c>
      <c r="H25" s="32">
        <f t="shared" si="2"/>
        <v>0.9791666667</v>
      </c>
      <c r="I25" s="35">
        <f t="shared" si="3"/>
        <v>15.66666667</v>
      </c>
      <c r="J25" s="36" t="s">
        <v>100</v>
      </c>
    </row>
    <row r="26" ht="45.75" customHeight="1">
      <c r="B26" s="25" t="s">
        <v>101</v>
      </c>
      <c r="C26" s="26" t="s">
        <v>49</v>
      </c>
      <c r="D26" s="27">
        <v>90.0</v>
      </c>
      <c r="E26" s="28" t="s">
        <v>43</v>
      </c>
      <c r="F26" s="29">
        <v>5.0</v>
      </c>
      <c r="G26" s="31">
        <f t="shared" si="1"/>
        <v>85</v>
      </c>
      <c r="H26" s="32">
        <f t="shared" si="2"/>
        <v>0.9444444444</v>
      </c>
      <c r="I26" s="35">
        <f t="shared" si="3"/>
        <v>1.416666667</v>
      </c>
      <c r="J26" s="38" t="s">
        <v>104</v>
      </c>
    </row>
    <row r="27" ht="45.75" customHeight="1">
      <c r="B27" s="25" t="s">
        <v>106</v>
      </c>
      <c r="C27" s="26" t="s">
        <v>45</v>
      </c>
      <c r="D27" s="27">
        <v>90.0</v>
      </c>
      <c r="E27" s="28" t="s">
        <v>108</v>
      </c>
      <c r="F27" s="29">
        <v>5.0</v>
      </c>
      <c r="G27" s="31">
        <f t="shared" si="1"/>
        <v>85</v>
      </c>
      <c r="H27" s="32">
        <f t="shared" si="2"/>
        <v>0.9444444444</v>
      </c>
      <c r="I27" s="35">
        <f t="shared" si="3"/>
        <v>1.416666667</v>
      </c>
      <c r="J27" s="38" t="s">
        <v>109</v>
      </c>
    </row>
    <row r="28" ht="45.75" customHeight="1">
      <c r="B28" s="25" t="s">
        <v>111</v>
      </c>
      <c r="C28" s="26" t="s">
        <v>49</v>
      </c>
      <c r="D28" s="27">
        <v>30.0</v>
      </c>
      <c r="E28" s="28" t="s">
        <v>43</v>
      </c>
      <c r="F28" s="29">
        <v>5.0</v>
      </c>
      <c r="G28" s="31">
        <f t="shared" si="1"/>
        <v>25</v>
      </c>
      <c r="H28" s="32">
        <f t="shared" si="2"/>
        <v>0.8333333333</v>
      </c>
      <c r="I28" s="35">
        <f t="shared" si="3"/>
        <v>0.4166666667</v>
      </c>
      <c r="J28" s="38" t="s">
        <v>113</v>
      </c>
    </row>
    <row r="29" ht="45.75" customHeight="1">
      <c r="B29" s="25" t="s">
        <v>115</v>
      </c>
      <c r="C29" s="26" t="s">
        <v>71</v>
      </c>
      <c r="D29" s="27">
        <v>960.0</v>
      </c>
      <c r="E29" s="28" t="s">
        <v>43</v>
      </c>
      <c r="F29" s="29">
        <v>5.0</v>
      </c>
      <c r="G29" s="31">
        <f t="shared" si="1"/>
        <v>955</v>
      </c>
      <c r="H29" s="32">
        <f t="shared" si="2"/>
        <v>0.9947916667</v>
      </c>
      <c r="I29" s="35">
        <f t="shared" si="3"/>
        <v>15.91666667</v>
      </c>
      <c r="J29" s="38" t="s">
        <v>116</v>
      </c>
    </row>
    <row r="30" ht="145" customHeight="1">
      <c r="B30" s="29" t="inlineStr">
        <is>
          <t xml:space="preserve">Presentación institucional de informes a entes de control</t>
        </is>
      </c>
      <c r="C30" s="31" t="inlineStr">
        <is>
          <t xml:space="preserve">Ocasional</t>
        </is>
      </c>
      <c r="D30" s="32">
        <v>480</v>
      </c>
      <c r="E30" s="33" t="inlineStr">
        <is>
          <t xml:space="preserve">Claude</t>
        </is>
      </c>
      <c r="F30" s="34">
        <v>10</v>
      </c>
      <c r="G30" s="35">
        <f>IFERROR(D30-F30,"")</f>
      </c>
      <c r="H30" s="23">
        <f>IFERROR(IF(D30&gt;0,(D30-F30)/D30,0),"")</f>
      </c>
      <c r="I30" s="36">
        <f>IFERROR(G30/60,"")</f>
      </c>
      <c r="J30" s="38" t="inlineStr">
        <is>
          <t xml:space="preserve">Lo registró Lucía el 9 de octubre de 2026 a partir del acta de la Sesión 11 del 24 de septiembre de 2026. Hacerla a mano toma una jornada de trabajo completa, 480 minutos. Se subió la presentación que la oficina viene usando desde hace años, se pidió actualizarla y salió en unos diez minutos, explicando además qué había cambiado. Se usó esa misma tarde en una reunión con varias áreas. Queda como Ocasional porque el acta no dice cada cuánto se presenta a los entes de control.</t>
        </is>
      </c>
    </row>
    <row r="31" ht="21.75" customHeight="1">
      <c r="B31" s="22" t="s">
        <v>118</v>
      </c>
      <c r="C31" s="7"/>
      <c r="D31" s="7"/>
      <c r="E31" s="7"/>
      <c r="F31" s="7"/>
      <c r="G31" s="7"/>
      <c r="H31" s="7"/>
      <c r="I31" s="7"/>
      <c r="J31" s="8"/>
    </row>
    <row r="32" ht="43.5" customHeight="1">
      <c r="B32" s="47">
        <f>COUNTA(B11:B30)</f>
      </c>
      <c r="C32" s="48"/>
      <c r="D32" s="49">
        <f>IFERROR(SUM(D11:D30)/60,0)</f>
      </c>
      <c r="E32" s="48"/>
      <c r="F32" s="49">
        <f>IFERROR(SUM(F11:F30)/60,0)</f>
      </c>
      <c r="G32" s="48"/>
      <c r="H32" s="49">
        <f>IFERROR((SUM(D11:D30)-SUM(F11:F30))/60,0)</f>
      </c>
      <c r="I32" s="50"/>
      <c r="J32" s="48"/>
    </row>
    <row r="33" ht="19.5" customHeight="1">
      <c r="B33" s="51" t="s">
        <v>14</v>
      </c>
      <c r="C33" s="8"/>
      <c r="D33" s="51" t="s">
        <v>16</v>
      </c>
      <c r="E33" s="8"/>
      <c r="F33" s="51" t="s">
        <v>17</v>
      </c>
      <c r="G33" s="8"/>
      <c r="H33" s="51" t="s">
        <v>19</v>
      </c>
      <c r="I33" s="7"/>
      <c r="J33" s="8"/>
    </row>
    <row r="34" ht="24.0" customHeight="1">
      <c r="B34" s="52" t="s">
        <v>128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D32:E32"/>
    <mergeCell ref="F32:G32"/>
    <mergeCell ref="B33:C33"/>
    <mergeCell ref="D33:E33"/>
    <mergeCell ref="F33:G33"/>
    <mergeCell ref="H33:J33"/>
    <mergeCell ref="B34:J34"/>
    <mergeCell ref="B2:J2"/>
    <mergeCell ref="B3:J3"/>
    <mergeCell ref="B5:J5"/>
    <mergeCell ref="B9:J9"/>
    <mergeCell ref="B31:J31"/>
    <mergeCell ref="B32:C32"/>
    <mergeCell ref="H32:J32"/>
  </mergeCells>
  <dataValidations>
    <dataValidation type="list" allowBlank="1" sqref="E11:E29">
      <formula1>"Claude,Gemini,ChatGPT,NotebookLM,Perplexity,Otter.ai,Gamma,Otro"</formula1>
    </dataValidation>
    <dataValidation type="list" allowBlank="1" sqref="C11:C29">
      <formula1>"Diaria,Semanal,Quincenal,Mensual,Ocasional"</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43"/>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0</v>
      </c>
      <c r="C1" s="7"/>
      <c r="D1" s="7"/>
      <c r="E1" s="7"/>
      <c r="F1" s="7"/>
      <c r="G1" s="7"/>
      <c r="H1" s="7"/>
      <c r="I1" s="7"/>
      <c r="J1" s="8"/>
    </row>
    <row r="2" ht="4.5" customHeight="1">
      <c r="B2" s="11"/>
      <c r="C2" s="7"/>
      <c r="D2" s="7"/>
      <c r="E2" s="7"/>
      <c r="F2" s="7"/>
      <c r="G2" s="7"/>
      <c r="H2" s="7"/>
      <c r="I2" s="7"/>
      <c r="J2" s="8"/>
    </row>
    <row r="3" ht="21.75" customHeight="1">
      <c r="B3" s="14" t="s">
        <v>8</v>
      </c>
      <c r="C3" s="16" t="s">
        <v>12</v>
      </c>
      <c r="E3" s="14" t="s">
        <v>13</v>
      </c>
      <c r="F3" s="17"/>
      <c r="H3" s="14" t="s">
        <v>21</v>
      </c>
      <c r="I3" s="17"/>
    </row>
    <row r="4" ht="21.75" customHeight="1">
      <c r="B4" s="19" t="s">
        <v>24</v>
      </c>
      <c r="C4" s="7"/>
      <c r="D4" s="7"/>
      <c r="E4" s="7"/>
      <c r="F4" s="7"/>
      <c r="G4" s="7"/>
      <c r="H4" s="7"/>
      <c r="I4" s="7"/>
      <c r="J4" s="8"/>
    </row>
    <row r="5" ht="51.75" customHeight="1">
      <c r="B5" s="21" t="s">
        <v>31</v>
      </c>
      <c r="D5" s="21"/>
      <c r="F5" s="21" t="s">
        <v>33</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c r="B10" s="25" t="s">
        <v>44</v>
      </c>
      <c r="C10" s="26" t="s">
        <v>45</v>
      </c>
      <c r="D10" s="27">
        <v>960.0</v>
      </c>
      <c r="E10" s="28" t="s">
        <v>43</v>
      </c>
      <c r="F10" s="29">
        <v>240.0</v>
      </c>
      <c r="G10" s="31">
        <f t="shared" ref="G10:G28" si="1">IFERROR(D10-F10,"")</f>
        <v>720</v>
      </c>
      <c r="H10" s="32">
        <f t="shared" ref="H10:H28" si="2">IFERROR(IF(D10&gt;0,(D10-F10)/D10,0),"")</f>
        <v>0.75</v>
      </c>
      <c r="I10" s="35">
        <f t="shared" ref="I10:I28" si="3">IFERROR(G10/60,"")</f>
        <v>12</v>
      </c>
      <c r="J10" s="36" t="s">
        <v>50</v>
      </c>
    </row>
    <row r="11">
      <c r="B11" s="25" t="s">
        <v>52</v>
      </c>
      <c r="C11" s="26" t="s">
        <v>45</v>
      </c>
      <c r="D11" s="27">
        <v>3840.0</v>
      </c>
      <c r="E11" s="28" t="s">
        <v>43</v>
      </c>
      <c r="F11" s="29">
        <v>240.0</v>
      </c>
      <c r="G11" s="31">
        <f t="shared" si="1"/>
        <v>3600</v>
      </c>
      <c r="H11" s="32">
        <f t="shared" si="2"/>
        <v>0.9375</v>
      </c>
      <c r="I11" s="35">
        <f t="shared" si="3"/>
        <v>60</v>
      </c>
      <c r="J11" s="38" t="s">
        <v>57</v>
      </c>
    </row>
    <row r="12" ht="60.0" customHeight="1">
      <c r="B12" s="25" t="s">
        <v>59</v>
      </c>
      <c r="C12" s="26" t="s">
        <v>45</v>
      </c>
      <c r="D12" s="27">
        <v>120.0</v>
      </c>
      <c r="E12" s="28" t="s">
        <v>43</v>
      </c>
      <c r="F12" s="29">
        <v>30.0</v>
      </c>
      <c r="G12" s="31">
        <f t="shared" si="1"/>
        <v>90</v>
      </c>
      <c r="H12" s="32">
        <f t="shared" si="2"/>
        <v>0.75</v>
      </c>
      <c r="I12" s="35">
        <f t="shared" si="3"/>
        <v>1.5</v>
      </c>
      <c r="J12" s="36" t="s">
        <v>63</v>
      </c>
    </row>
    <row r="13" ht="54.75" customHeight="1">
      <c r="B13" s="25" t="s">
        <v>64</v>
      </c>
      <c r="C13" s="26" t="s">
        <v>45</v>
      </c>
      <c r="D13" s="27">
        <v>480.0</v>
      </c>
      <c r="E13" s="28" t="s">
        <v>43</v>
      </c>
      <c r="F13" s="29">
        <v>30.0</v>
      </c>
      <c r="G13" s="31">
        <f t="shared" si="1"/>
        <v>450</v>
      </c>
      <c r="H13" s="32">
        <f t="shared" si="2"/>
        <v>0.9375</v>
      </c>
      <c r="I13" s="35">
        <f t="shared" si="3"/>
        <v>7.5</v>
      </c>
      <c r="J13" s="39" t="s">
        <v>67</v>
      </c>
    </row>
    <row r="14" ht="76.5" customHeight="1">
      <c r="B14" s="25" t="s">
        <v>69</v>
      </c>
      <c r="C14" s="26" t="s">
        <v>45</v>
      </c>
      <c r="D14" s="27">
        <v>480.0</v>
      </c>
      <c r="E14" s="28" t="s">
        <v>43</v>
      </c>
      <c r="F14" s="29">
        <v>60.0</v>
      </c>
      <c r="G14" s="31">
        <f t="shared" si="1"/>
        <v>420</v>
      </c>
      <c r="H14" s="32">
        <f t="shared" si="2"/>
        <v>0.875</v>
      </c>
      <c r="I14" s="35">
        <f t="shared" si="3"/>
        <v>7</v>
      </c>
      <c r="J14" s="36" t="s">
        <v>75</v>
      </c>
    </row>
    <row r="15" ht="113.25" customHeight="1">
      <c r="B15" s="25" t="s">
        <v>76</v>
      </c>
      <c r="C15" s="26" t="s">
        <v>49</v>
      </c>
      <c r="D15" s="27">
        <v>1440.0</v>
      </c>
      <c r="E15" s="28" t="s">
        <v>43</v>
      </c>
      <c r="F15" s="29">
        <v>240.0</v>
      </c>
      <c r="G15" s="31">
        <f t="shared" si="1"/>
        <v>1200</v>
      </c>
      <c r="H15" s="32">
        <f t="shared" si="2"/>
        <v>0.8333333333</v>
      </c>
      <c r="I15" s="35">
        <f t="shared" si="3"/>
        <v>20</v>
      </c>
      <c r="J15" s="38" t="s">
        <v>80</v>
      </c>
    </row>
    <row r="16" ht="59.25" customHeight="1">
      <c r="B16" s="25" t="s">
        <v>81</v>
      </c>
      <c r="C16" s="26" t="s">
        <v>45</v>
      </c>
      <c r="D16" s="27">
        <v>720.0</v>
      </c>
      <c r="E16" s="28" t="s">
        <v>43</v>
      </c>
      <c r="F16" s="29">
        <v>60.0</v>
      </c>
      <c r="G16" s="31">
        <f t="shared" si="1"/>
        <v>660</v>
      </c>
      <c r="H16" s="32">
        <f t="shared" si="2"/>
        <v>0.9166666667</v>
      </c>
      <c r="I16" s="35">
        <f t="shared" si="3"/>
        <v>11</v>
      </c>
      <c r="J16" s="36" t="s">
        <v>84</v>
      </c>
    </row>
    <row r="17">
      <c r="B17" s="25" t="s">
        <v>85</v>
      </c>
      <c r="C17" s="26" t="s">
        <v>49</v>
      </c>
      <c r="D17" s="27">
        <v>1440.0</v>
      </c>
      <c r="E17" s="28" t="s">
        <v>43</v>
      </c>
      <c r="F17" s="29">
        <v>45.0</v>
      </c>
      <c r="G17" s="31">
        <f t="shared" si="1"/>
        <v>1395</v>
      </c>
      <c r="H17" s="32">
        <f t="shared" si="2"/>
        <v>0.96875</v>
      </c>
      <c r="I17" s="35">
        <f t="shared" si="3"/>
        <v>23.25</v>
      </c>
      <c r="J17" s="38" t="s">
        <v>88</v>
      </c>
    </row>
    <row r="18" ht="77.25" customHeight="1">
      <c r="B18" s="25" t="s">
        <v>89</v>
      </c>
      <c r="C18" s="26" t="s">
        <v>45</v>
      </c>
      <c r="D18" s="27">
        <v>240.0</v>
      </c>
      <c r="E18" s="28" t="s">
        <v>43</v>
      </c>
      <c r="F18" s="29">
        <v>60.0</v>
      </c>
      <c r="G18" s="31">
        <f t="shared" si="1"/>
        <v>180</v>
      </c>
      <c r="H18" s="32">
        <f t="shared" si="2"/>
        <v>0.75</v>
      </c>
      <c r="I18" s="35">
        <f t="shared" si="3"/>
        <v>3</v>
      </c>
      <c r="J18" s="38" t="s">
        <v>92</v>
      </c>
    </row>
    <row r="19">
      <c r="B19" s="25" t="s">
        <v>94</v>
      </c>
      <c r="C19" s="26" t="s">
        <v>45</v>
      </c>
      <c r="D19" s="27">
        <v>240.0</v>
      </c>
      <c r="E19" s="28" t="s">
        <v>43</v>
      </c>
      <c r="F19" s="29">
        <v>30.0</v>
      </c>
      <c r="G19" s="31">
        <f t="shared" si="1"/>
        <v>210</v>
      </c>
      <c r="H19" s="32">
        <f t="shared" si="2"/>
        <v>0.875</v>
      </c>
      <c r="I19" s="35">
        <f t="shared" si="3"/>
        <v>3.5</v>
      </c>
      <c r="J19" s="38" t="s">
        <v>92</v>
      </c>
    </row>
    <row r="20" ht="78.0" customHeight="1">
      <c r="B20" s="25" t="s">
        <v>99</v>
      </c>
      <c r="C20" s="26" t="s">
        <v>45</v>
      </c>
      <c r="D20" s="27">
        <v>7200.0</v>
      </c>
      <c r="E20" s="28" t="s">
        <v>43</v>
      </c>
      <c r="F20" s="29">
        <v>45.0</v>
      </c>
      <c r="G20" s="31">
        <f t="shared" si="1"/>
        <v>7155</v>
      </c>
      <c r="H20" s="32">
        <f t="shared" si="2"/>
        <v>0.99375</v>
      </c>
      <c r="I20" s="35">
        <f t="shared" si="3"/>
        <v>119.25</v>
      </c>
      <c r="J20" s="38" t="s">
        <v>102</v>
      </c>
    </row>
    <row r="21" ht="64.5" customHeight="1">
      <c r="B21" s="25" t="s">
        <v>103</v>
      </c>
      <c r="C21" s="26" t="s">
        <v>45</v>
      </c>
      <c r="D21" s="27">
        <v>480.0</v>
      </c>
      <c r="E21" s="28" t="s">
        <v>43</v>
      </c>
      <c r="F21" s="29">
        <v>30.0</v>
      </c>
      <c r="G21" s="31">
        <f t="shared" si="1"/>
        <v>450</v>
      </c>
      <c r="H21" s="32">
        <f t="shared" si="2"/>
        <v>0.9375</v>
      </c>
      <c r="I21" s="35">
        <f t="shared" si="3"/>
        <v>7.5</v>
      </c>
      <c r="J21" s="38" t="s">
        <v>105</v>
      </c>
    </row>
    <row r="22" ht="68.25" customHeight="1">
      <c r="B22" s="25" t="s">
        <v>107</v>
      </c>
      <c r="C22" s="26" t="s">
        <v>45</v>
      </c>
      <c r="D22" s="27">
        <v>2400.0</v>
      </c>
      <c r="E22" s="28" t="s">
        <v>43</v>
      </c>
      <c r="F22" s="29">
        <v>30.0</v>
      </c>
      <c r="G22" s="31">
        <f t="shared" si="1"/>
        <v>2370</v>
      </c>
      <c r="H22" s="32">
        <f t="shared" si="2"/>
        <v>0.9875</v>
      </c>
      <c r="I22" s="35">
        <f t="shared" si="3"/>
        <v>39.5</v>
      </c>
      <c r="J22" s="40" t="s">
        <v>112</v>
      </c>
    </row>
    <row r="23" ht="75.0" customHeight="1">
      <c r="B23" s="41" t="s">
        <v>114</v>
      </c>
      <c r="C23" s="42" t="s">
        <v>79</v>
      </c>
      <c r="D23" s="43">
        <v>720.0</v>
      </c>
      <c r="E23" s="44" t="s">
        <v>43</v>
      </c>
      <c r="F23" s="45">
        <v>30.0</v>
      </c>
      <c r="G23" s="31">
        <f t="shared" si="1"/>
        <v>690</v>
      </c>
      <c r="H23" s="32">
        <f t="shared" si="2"/>
        <v>0.9583333333</v>
      </c>
      <c r="I23" s="35">
        <f t="shared" si="3"/>
        <v>11.5</v>
      </c>
      <c r="J23" s="40" t="s">
        <v>120</v>
      </c>
    </row>
    <row r="24" ht="24.0" customHeight="1">
      <c r="B24" s="25"/>
      <c r="C24" s="26"/>
      <c r="D24" s="27"/>
      <c r="E24" s="28"/>
      <c r="F24" s="29"/>
      <c r="G24" s="31">
        <f t="shared" si="1"/>
        <v>0</v>
      </c>
      <c r="H24" s="32">
        <f t="shared" si="2"/>
        <v>0</v>
      </c>
      <c r="I24" s="35">
        <f t="shared" si="3"/>
        <v>0</v>
      </c>
      <c r="J24" s="38"/>
    </row>
    <row r="25" ht="24.0" customHeight="1">
      <c r="B25" s="25"/>
      <c r="C25" s="26"/>
      <c r="D25" s="27"/>
      <c r="E25" s="28"/>
      <c r="F25" s="29"/>
      <c r="G25" s="31">
        <f t="shared" si="1"/>
        <v>0</v>
      </c>
      <c r="H25" s="32">
        <f t="shared" si="2"/>
        <v>0</v>
      </c>
      <c r="I25" s="35">
        <f t="shared" si="3"/>
        <v>0</v>
      </c>
      <c r="J25" s="38"/>
    </row>
    <row r="26" ht="24.0" customHeight="1">
      <c r="B26" s="25"/>
      <c r="C26" s="26"/>
      <c r="D26" s="27"/>
      <c r="E26" s="28"/>
      <c r="F26" s="29"/>
      <c r="G26" s="31">
        <f t="shared" si="1"/>
        <v>0</v>
      </c>
      <c r="H26" s="32">
        <f t="shared" si="2"/>
        <v>0</v>
      </c>
      <c r="I26" s="35">
        <f t="shared" si="3"/>
        <v>0</v>
      </c>
      <c r="J26" s="38"/>
    </row>
    <row r="27" ht="24.0" customHeight="1">
      <c r="B27" s="25"/>
      <c r="C27" s="26"/>
      <c r="D27" s="27"/>
      <c r="E27" s="28"/>
      <c r="F27" s="29"/>
      <c r="G27" s="31">
        <f t="shared" si="1"/>
        <v>0</v>
      </c>
      <c r="H27" s="32">
        <f t="shared" si="2"/>
        <v>0</v>
      </c>
      <c r="I27" s="35">
        <f t="shared" si="3"/>
        <v>0</v>
      </c>
      <c r="J27" s="38"/>
    </row>
    <row r="28" ht="24.0" customHeight="1">
      <c r="B28" s="25"/>
      <c r="C28" s="26"/>
      <c r="D28" s="27"/>
      <c r="E28" s="28"/>
      <c r="F28" s="29"/>
      <c r="G28" s="31">
        <f t="shared" si="1"/>
        <v>0</v>
      </c>
      <c r="H28" s="32">
        <f t="shared" si="2"/>
        <v>0</v>
      </c>
      <c r="I28" s="35">
        <f t="shared" si="3"/>
        <v>0</v>
      </c>
      <c r="J28" s="38"/>
    </row>
    <row r="29" ht="15.75" customHeight="1">
      <c r="B29" s="11"/>
      <c r="C29" s="7"/>
      <c r="D29" s="7"/>
      <c r="E29" s="7"/>
      <c r="F29" s="7"/>
      <c r="G29" s="7"/>
      <c r="H29" s="7"/>
      <c r="I29" s="7"/>
      <c r="J29" s="8"/>
    </row>
    <row r="30" ht="21.75" customHeight="1">
      <c r="B30" s="22" t="s">
        <v>118</v>
      </c>
      <c r="C30" s="7"/>
      <c r="D30" s="7"/>
      <c r="E30" s="7"/>
      <c r="F30" s="7"/>
      <c r="G30" s="7"/>
      <c r="H30" s="7"/>
      <c r="I30" s="7"/>
      <c r="J30" s="8"/>
    </row>
    <row r="31" ht="43.5" customHeight="1">
      <c r="B31" s="47">
        <f>COUNTA(B10:B28)</f>
        <v>14</v>
      </c>
      <c r="C31" s="48"/>
      <c r="D31" s="49">
        <f>IFERROR(SUM(D10:D28)/60,0)</f>
        <v>346</v>
      </c>
      <c r="E31" s="48"/>
      <c r="F31" s="49">
        <f>IFERROR(SUM(F10:F28)/60,0)</f>
        <v>19.5</v>
      </c>
      <c r="G31" s="48"/>
      <c r="H31" s="49">
        <f>IFERROR((SUM(D10:D28)-SUM(F10:F28))/60,0)</f>
        <v>326.5</v>
      </c>
      <c r="I31" s="50"/>
      <c r="J31" s="48"/>
    </row>
    <row r="32" ht="39.0" customHeight="1">
      <c r="B32" s="51" t="s">
        <v>14</v>
      </c>
      <c r="C32" s="8"/>
      <c r="D32" s="51" t="s">
        <v>16</v>
      </c>
      <c r="E32" s="8"/>
      <c r="F32" s="51" t="s">
        <v>17</v>
      </c>
      <c r="G32" s="8"/>
      <c r="H32" s="51" t="s">
        <v>19</v>
      </c>
      <c r="I32" s="7"/>
      <c r="J32" s="8"/>
    </row>
    <row r="33" ht="24.0" customHeight="1">
      <c r="B33" s="52" t="s">
        <v>128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31:E31"/>
    <mergeCell ref="F31:G31"/>
    <mergeCell ref="B32:C32"/>
    <mergeCell ref="D32:E32"/>
    <mergeCell ref="F32:G32"/>
    <mergeCell ref="H32:J32"/>
    <mergeCell ref="B33:J33"/>
    <mergeCell ref="B1:J1"/>
    <mergeCell ref="B2:J2"/>
    <mergeCell ref="B4:J4"/>
    <mergeCell ref="B8:J8"/>
    <mergeCell ref="B29:J29"/>
    <mergeCell ref="B30:J30"/>
    <mergeCell ref="B31:C31"/>
    <mergeCell ref="H31:J31"/>
  </mergeCells>
  <dataValidations>
    <dataValidation type="list" allowBlank="1" sqref="E10:E28">
      <formula1>"Claude,Gemini,ChatGPT,NotebookLM,Perplexity,Otter.ai,Gamma,Otro"</formula1>
    </dataValidation>
    <dataValidation type="list" allowBlank="1" sqref="C10:C28">
      <formula1>"Diaria,Semanal,Quincenal,Mensual,Ocasional"</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51.43"/>
    <col customWidth="1" min="3" max="3" width="28.0"/>
    <col customWidth="1" min="4" max="4" width="15.29"/>
    <col customWidth="1" min="5" max="5" width="14.0"/>
    <col customWidth="1" min="6" max="6" width="16.0"/>
    <col customWidth="1" min="7" max="7" width="14.0"/>
    <col customWidth="1" min="8" max="8" width="12.0"/>
    <col customWidth="1" min="9" max="9" width="11.0"/>
    <col customWidth="1" min="10" max="10" width="35.14"/>
  </cols>
  <sheetData>
    <row r="1" ht="39.75" customHeight="1">
      <c r="B1" s="6" t="s">
        <v>117</v>
      </c>
      <c r="C1" s="7"/>
      <c r="D1" s="7"/>
      <c r="E1" s="7"/>
      <c r="F1" s="7"/>
      <c r="G1" s="7"/>
      <c r="H1" s="7"/>
      <c r="I1" s="7"/>
      <c r="J1" s="8"/>
    </row>
    <row r="2" ht="4.5" customHeight="1">
      <c r="B2" s="11"/>
      <c r="C2" s="7"/>
      <c r="D2" s="7"/>
      <c r="E2" s="7"/>
      <c r="F2" s="7"/>
      <c r="G2" s="7"/>
      <c r="H2" s="7"/>
      <c r="I2" s="7"/>
      <c r="J2" s="8"/>
    </row>
    <row r="3" ht="21.75" customHeight="1">
      <c r="B3" s="14" t="s">
        <v>8</v>
      </c>
      <c r="C3" s="16" t="s">
        <v>121</v>
      </c>
      <c r="E3" s="14" t="s">
        <v>13</v>
      </c>
      <c r="F3" s="46" t="s">
        <v>122</v>
      </c>
      <c r="H3" s="14" t="s">
        <v>21</v>
      </c>
      <c r="I3" s="46">
        <v>1.0</v>
      </c>
    </row>
    <row r="4" ht="21.75" customHeight="1">
      <c r="B4" s="19" t="s">
        <v>24</v>
      </c>
      <c r="C4" s="7"/>
      <c r="D4" s="7"/>
      <c r="E4" s="7"/>
      <c r="F4" s="7"/>
      <c r="G4" s="7"/>
      <c r="H4" s="7"/>
      <c r="I4" s="7"/>
      <c r="J4" s="8"/>
    </row>
    <row r="5" ht="46.5" customHeight="1">
      <c r="B5" s="21" t="s">
        <v>123</v>
      </c>
      <c r="D5" s="21" t="s">
        <v>124</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c r="B10" s="25" t="s">
        <v>125</v>
      </c>
      <c r="C10" s="26" t="s">
        <v>126</v>
      </c>
      <c r="D10" s="27">
        <v>60.0</v>
      </c>
      <c r="E10" s="28" t="s">
        <v>43</v>
      </c>
      <c r="F10" s="29">
        <v>15.0</v>
      </c>
      <c r="G10" s="31">
        <f t="shared" ref="G10:G18" si="1">IFERROR(D10-F10,"")</f>
        <v>45</v>
      </c>
      <c r="H10" s="32">
        <f t="shared" ref="H10:H18" si="2">IFERROR(IF(D10&gt;0,(D10-F10)/D10,0),"")</f>
        <v>0.75</v>
      </c>
      <c r="I10" s="35">
        <f t="shared" ref="I10:I18" si="3">IFERROR(G10/60,"")</f>
        <v>0.75</v>
      </c>
      <c r="J10" s="53" t="s">
        <v>130</v>
      </c>
    </row>
    <row r="11">
      <c r="B11" s="25" t="s">
        <v>131</v>
      </c>
      <c r="C11" s="26" t="s">
        <v>42</v>
      </c>
      <c r="D11" s="27">
        <v>60.0</v>
      </c>
      <c r="E11" s="28" t="s">
        <v>43</v>
      </c>
      <c r="F11" s="29">
        <v>15.0</v>
      </c>
      <c r="G11" s="31">
        <f t="shared" si="1"/>
        <v>45</v>
      </c>
      <c r="H11" s="32">
        <f t="shared" si="2"/>
        <v>0.75</v>
      </c>
      <c r="I11" s="35">
        <f t="shared" si="3"/>
        <v>0.75</v>
      </c>
      <c r="J11" s="53" t="s">
        <v>133</v>
      </c>
    </row>
    <row r="12">
      <c r="B12" s="25" t="s">
        <v>134</v>
      </c>
      <c r="C12" s="26" t="s">
        <v>71</v>
      </c>
      <c r="D12" s="27">
        <v>60.0</v>
      </c>
      <c r="E12" s="28" t="s">
        <v>43</v>
      </c>
      <c r="F12" s="29">
        <v>15.0</v>
      </c>
      <c r="G12" s="31">
        <f t="shared" si="1"/>
        <v>45</v>
      </c>
      <c r="H12" s="32">
        <f t="shared" si="2"/>
        <v>0.75</v>
      </c>
      <c r="I12" s="35">
        <f t="shared" si="3"/>
        <v>0.75</v>
      </c>
      <c r="J12" s="54" t="s">
        <v>135</v>
      </c>
    </row>
    <row r="13">
      <c r="B13" s="25" t="s">
        <v>136</v>
      </c>
      <c r="C13" s="26" t="s">
        <v>49</v>
      </c>
      <c r="D13" s="27">
        <v>70.0</v>
      </c>
      <c r="E13" s="28" t="s">
        <v>43</v>
      </c>
      <c r="F13" s="29">
        <v>10.0</v>
      </c>
      <c r="G13" s="31">
        <f t="shared" si="1"/>
        <v>60</v>
      </c>
      <c r="H13" s="32">
        <f t="shared" si="2"/>
        <v>0.8571428571</v>
      </c>
      <c r="I13" s="35">
        <f t="shared" si="3"/>
        <v>1</v>
      </c>
      <c r="J13" s="54" t="s">
        <v>137</v>
      </c>
    </row>
    <row r="14">
      <c r="B14" s="25" t="s">
        <v>138</v>
      </c>
      <c r="C14" s="26" t="s">
        <v>49</v>
      </c>
      <c r="D14" s="27">
        <v>70.0</v>
      </c>
      <c r="E14" s="28" t="s">
        <v>43</v>
      </c>
      <c r="F14" s="29">
        <v>10.0</v>
      </c>
      <c r="G14" s="31">
        <f t="shared" si="1"/>
        <v>60</v>
      </c>
      <c r="H14" s="32">
        <f t="shared" si="2"/>
        <v>0.8571428571</v>
      </c>
      <c r="I14" s="35">
        <f t="shared" si="3"/>
        <v>1</v>
      </c>
      <c r="J14" s="54" t="s">
        <v>137</v>
      </c>
    </row>
    <row r="15">
      <c r="B15" s="25" t="s">
        <v>140</v>
      </c>
      <c r="C15" s="26" t="s">
        <v>71</v>
      </c>
      <c r="D15" s="27">
        <v>60.0</v>
      </c>
      <c r="E15" s="28" t="s">
        <v>43</v>
      </c>
      <c r="F15" s="29">
        <v>15.0</v>
      </c>
      <c r="G15" s="31">
        <f t="shared" si="1"/>
        <v>45</v>
      </c>
      <c r="H15" s="32">
        <f t="shared" si="2"/>
        <v>0.75</v>
      </c>
      <c r="I15" s="35">
        <f t="shared" si="3"/>
        <v>0.75</v>
      </c>
      <c r="J15" s="54" t="s">
        <v>141</v>
      </c>
    </row>
    <row r="16">
      <c r="B16" s="41" t="s">
        <v>142</v>
      </c>
      <c r="C16" s="42" t="s">
        <v>49</v>
      </c>
      <c r="D16" s="55">
        <v>90.0</v>
      </c>
      <c r="E16" s="44" t="s">
        <v>43</v>
      </c>
      <c r="F16" s="45">
        <v>30.0</v>
      </c>
      <c r="G16" s="31">
        <f t="shared" si="1"/>
        <v>60</v>
      </c>
      <c r="H16" s="32">
        <f t="shared" si="2"/>
        <v>0.6666666667</v>
      </c>
      <c r="I16" s="35">
        <f t="shared" si="3"/>
        <v>1</v>
      </c>
      <c r="J16" s="54" t="s">
        <v>144</v>
      </c>
    </row>
    <row r="17">
      <c r="B17" s="41" t="s">
        <v>145</v>
      </c>
      <c r="C17" s="42" t="s">
        <v>71</v>
      </c>
      <c r="D17" s="55">
        <v>240.0</v>
      </c>
      <c r="E17" s="44" t="s">
        <v>43</v>
      </c>
      <c r="F17" s="45">
        <v>15.0</v>
      </c>
      <c r="G17" s="31">
        <f t="shared" si="1"/>
        <v>225</v>
      </c>
      <c r="H17" s="32">
        <f t="shared" si="2"/>
        <v>0.9375</v>
      </c>
      <c r="I17" s="35">
        <f t="shared" si="3"/>
        <v>3.75</v>
      </c>
      <c r="J17" s="54" t="s">
        <v>146</v>
      </c>
    </row>
    <row r="18" ht="46.5" customHeight="1">
      <c r="B18" s="56" t="s">
        <v>147</v>
      </c>
      <c r="C18" s="57" t="s">
        <v>126</v>
      </c>
      <c r="D18" s="58">
        <v>120.0</v>
      </c>
      <c r="E18" s="59" t="s">
        <v>43</v>
      </c>
      <c r="F18" s="60">
        <v>15.0</v>
      </c>
      <c r="G18" s="31">
        <f t="shared" si="1"/>
        <v>105</v>
      </c>
      <c r="H18" s="32">
        <f t="shared" si="2"/>
        <v>0.875</v>
      </c>
      <c r="I18" s="35">
        <f t="shared" si="3"/>
        <v>1.75</v>
      </c>
      <c r="J18" s="61" t="s">
        <v>149</v>
      </c>
    </row>
    <row r="19" ht="31.5" customHeight="1">
      <c r="B19" s="11"/>
      <c r="C19" s="7"/>
      <c r="D19" s="7"/>
      <c r="E19" s="7"/>
      <c r="F19" s="7"/>
      <c r="G19" s="7"/>
      <c r="H19" s="7"/>
      <c r="I19" s="7"/>
      <c r="J19" s="8"/>
    </row>
    <row r="20" ht="21.75" customHeight="1">
      <c r="B20" s="22" t="s">
        <v>118</v>
      </c>
      <c r="C20" s="7"/>
      <c r="D20" s="7"/>
      <c r="E20" s="7"/>
      <c r="F20" s="7"/>
      <c r="G20" s="7"/>
      <c r="H20" s="7"/>
      <c r="I20" s="7"/>
      <c r="J20" s="8"/>
    </row>
    <row r="21" ht="43.5" customHeight="1">
      <c r="B21" s="47">
        <f>COUNTA(B10:B18)</f>
      </c>
      <c r="C21" s="48"/>
      <c r="D21" s="49">
        <f>IFERROR(SUM(D10:D18)/60,0)</f>
      </c>
      <c r="E21" s="48"/>
      <c r="F21" s="49">
        <f>IFERROR(SUM(F10:F18)/60,0)</f>
      </c>
      <c r="G21" s="48"/>
      <c r="H21" s="49">
        <f>IFERROR((SUM(D10:D18)-SUM(F10:F18))/60,0)</f>
      </c>
      <c r="I21" s="50"/>
      <c r="J21" s="48"/>
    </row>
    <row r="22" ht="19.5" customHeight="1">
      <c r="B22" s="51" t="s">
        <v>14</v>
      </c>
      <c r="C22" s="8"/>
      <c r="D22" s="51" t="s">
        <v>16</v>
      </c>
      <c r="E22" s="8"/>
      <c r="F22" s="51" t="s">
        <v>17</v>
      </c>
      <c r="G22" s="8"/>
      <c r="H22" s="51" t="s">
        <v>19</v>
      </c>
      <c r="I22" s="7"/>
      <c r="J22" s="8"/>
    </row>
    <row r="23" ht="24.0" customHeight="1">
      <c r="B23" s="52" t="s">
        <v>128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5">
    <mergeCell ref="D21:E21"/>
    <mergeCell ref="F21:G21"/>
    <mergeCell ref="B22:C22"/>
    <mergeCell ref="D22:E22"/>
    <mergeCell ref="F22:G22"/>
    <mergeCell ref="H22:J22"/>
    <mergeCell ref="B23:J23"/>
    <mergeCell ref="B1:J1"/>
    <mergeCell ref="B2:J2"/>
    <mergeCell ref="B4:J4"/>
    <mergeCell ref="B8:J8"/>
    <mergeCell ref="B19:J19"/>
    <mergeCell ref="B20:J20"/>
    <mergeCell ref="B21:C21"/>
    <mergeCell ref="H21:J21"/>
  </mergeCells>
  <dataValidations>
    <dataValidation type="list" allowBlank="1" sqref="E10:E18">
      <formula1>"Claude,Gemini,ChatGPT,NotebookLM,Perplexity,Otter.ai,Gamma,Otro"</formula1>
    </dataValidation>
    <dataValidation type="list" allowBlank="1" sqref="C10:C18">
      <formula1>"Diaria,Semanal,Quincenal,Mensual,Ocasional"</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1.29"/>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58.14"/>
  </cols>
  <sheetData>
    <row r="1" ht="39.75" customHeight="1">
      <c r="B1" s="6" t="s">
        <v>155</v>
      </c>
      <c r="C1" s="7"/>
      <c r="D1" s="7"/>
      <c r="E1" s="7"/>
      <c r="F1" s="7"/>
      <c r="G1" s="7"/>
      <c r="H1" s="7"/>
      <c r="I1" s="7"/>
      <c r="J1" s="8"/>
    </row>
    <row r="2" ht="4.5" customHeight="1">
      <c r="B2" s="11"/>
      <c r="C2" s="7"/>
      <c r="D2" s="7"/>
      <c r="E2" s="7"/>
      <c r="F2" s="7"/>
      <c r="G2" s="7"/>
      <c r="H2" s="7"/>
      <c r="I2" s="7"/>
      <c r="J2" s="8"/>
    </row>
    <row r="3" ht="21.75" customHeight="1">
      <c r="B3" s="14" t="s">
        <v>8</v>
      </c>
      <c r="C3" s="16" t="s">
        <v>119</v>
      </c>
      <c r="E3" s="14" t="s">
        <v>13</v>
      </c>
      <c r="F3" s="17"/>
      <c r="H3" s="14" t="s">
        <v>21</v>
      </c>
      <c r="I3" s="17"/>
    </row>
    <row r="4" ht="21.75" customHeight="1">
      <c r="B4" s="19" t="s">
        <v>24</v>
      </c>
      <c r="C4" s="7"/>
      <c r="D4" s="7"/>
      <c r="E4" s="7"/>
      <c r="F4" s="7"/>
      <c r="G4" s="7"/>
      <c r="H4" s="7"/>
      <c r="I4" s="7"/>
      <c r="J4" s="8"/>
    </row>
    <row r="5" ht="19.5" customHeight="1">
      <c r="B5" s="21" t="s">
        <v>158</v>
      </c>
      <c r="D5" s="21" t="s">
        <v>159</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83.25" customHeight="1">
      <c r="B10" s="25" t="s">
        <v>161</v>
      </c>
      <c r="C10" s="26" t="s">
        <v>71</v>
      </c>
      <c r="D10" s="27">
        <v>480.0</v>
      </c>
      <c r="E10" s="28" t="s">
        <v>43</v>
      </c>
      <c r="F10" s="29">
        <v>30.0</v>
      </c>
      <c r="G10" s="31">
        <f t="shared" ref="G10:G17" si="1">IFERROR(D10-F10,"")</f>
        <v>450</v>
      </c>
      <c r="H10" s="32">
        <f t="shared" ref="H10:H17" si="2">IFERROR(IF(D10&gt;0,(D10-F10)/D10,0),"")</f>
        <v>0.9375</v>
      </c>
      <c r="I10" s="35">
        <f t="shared" ref="I10:I15" si="3">IFERROR(G10/60,"")</f>
        <v>7.5</v>
      </c>
      <c r="J10" s="36" t="s">
        <v>166</v>
      </c>
    </row>
    <row r="11" ht="129.75" customHeight="1">
      <c r="B11" s="25" t="s">
        <v>169</v>
      </c>
      <c r="C11" s="26" t="s">
        <v>71</v>
      </c>
      <c r="D11" s="27">
        <v>60.0</v>
      </c>
      <c r="E11" s="28" t="s">
        <v>43</v>
      </c>
      <c r="F11" s="29">
        <v>10.0</v>
      </c>
      <c r="G11" s="31">
        <f t="shared" si="1"/>
        <v>50</v>
      </c>
      <c r="H11" s="32">
        <f t="shared" si="2"/>
        <v>0.8333333333</v>
      </c>
      <c r="I11" s="35">
        <f t="shared" si="3"/>
        <v>0.8333333333</v>
      </c>
      <c r="J11" s="38" t="s">
        <v>173</v>
      </c>
    </row>
    <row r="12" ht="146.25" customHeight="1">
      <c r="B12" s="25" t="s">
        <v>175</v>
      </c>
      <c r="C12" s="26" t="s">
        <v>71</v>
      </c>
      <c r="D12" s="27">
        <v>15.0</v>
      </c>
      <c r="E12" s="28" t="s">
        <v>43</v>
      </c>
      <c r="F12" s="29">
        <v>3.0</v>
      </c>
      <c r="G12" s="31">
        <f t="shared" si="1"/>
        <v>12</v>
      </c>
      <c r="H12" s="32">
        <f t="shared" si="2"/>
        <v>0.8</v>
      </c>
      <c r="I12" s="35">
        <f t="shared" si="3"/>
        <v>0.2</v>
      </c>
      <c r="J12" s="36" t="s">
        <v>178</v>
      </c>
    </row>
    <row r="13" ht="99.0" customHeight="1">
      <c r="B13" s="25" t="s">
        <v>179</v>
      </c>
      <c r="C13" s="26" t="s">
        <v>71</v>
      </c>
      <c r="D13" s="27">
        <v>10.0</v>
      </c>
      <c r="E13" s="28" t="s">
        <v>43</v>
      </c>
      <c r="F13" s="29">
        <v>3.0</v>
      </c>
      <c r="G13" s="31">
        <f t="shared" si="1"/>
        <v>7</v>
      </c>
      <c r="H13" s="32">
        <f t="shared" si="2"/>
        <v>0.7</v>
      </c>
      <c r="I13" s="35">
        <f t="shared" si="3"/>
        <v>0.1166666667</v>
      </c>
      <c r="J13" s="38" t="s">
        <v>185</v>
      </c>
    </row>
    <row r="14" ht="90.0" customHeight="1">
      <c r="B14" s="25" t="s">
        <v>186</v>
      </c>
      <c r="C14" s="26" t="s">
        <v>71</v>
      </c>
      <c r="D14" s="27">
        <v>30.0</v>
      </c>
      <c r="E14" s="28" t="s">
        <v>43</v>
      </c>
      <c r="F14" s="29">
        <v>3.0</v>
      </c>
      <c r="G14" s="31">
        <f t="shared" si="1"/>
        <v>27</v>
      </c>
      <c r="H14" s="32">
        <f t="shared" si="2"/>
        <v>0.9</v>
      </c>
      <c r="I14" s="35">
        <f t="shared" si="3"/>
        <v>0.45</v>
      </c>
      <c r="J14" s="36" t="s">
        <v>189</v>
      </c>
    </row>
    <row r="15" ht="75.0" customHeight="1">
      <c r="B15" s="41" t="s">
        <v>190</v>
      </c>
      <c r="C15" s="42" t="s">
        <v>49</v>
      </c>
      <c r="D15" s="43">
        <v>60.0</v>
      </c>
      <c r="E15" s="44" t="s">
        <v>43</v>
      </c>
      <c r="F15" s="45">
        <v>1.0</v>
      </c>
      <c r="G15" s="31">
        <f t="shared" si="1"/>
        <v>59</v>
      </c>
      <c r="H15" s="32">
        <f t="shared" si="2"/>
        <v>0.9833333333</v>
      </c>
      <c r="I15" s="35">
        <f t="shared" si="3"/>
        <v>0.9833333333</v>
      </c>
      <c r="J15" s="40" t="s">
        <v>193</v>
      </c>
    </row>
    <row r="16" ht="37.5" customHeight="1">
      <c r="B16" s="25"/>
      <c r="C16" s="26"/>
      <c r="D16" s="27"/>
      <c r="E16" s="28"/>
      <c r="F16" s="29"/>
      <c r="G16" s="31">
        <f t="shared" si="1"/>
        <v>0</v>
      </c>
      <c r="H16" s="32">
        <f t="shared" si="2"/>
        <v>0</v>
      </c>
      <c r="J16" s="36"/>
    </row>
    <row r="17" ht="37.5"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6</v>
      </c>
      <c r="C20" s="48"/>
      <c r="D20" s="49">
        <f>IFERROR(SUM(D10:D17)/60,0)</f>
        <v>10.91666667</v>
      </c>
      <c r="E20" s="48"/>
      <c r="F20" s="49">
        <f>IFERROR(SUM(F10:F17)/60,0)</f>
        <v>0.8333333333</v>
      </c>
      <c r="G20" s="48"/>
      <c r="H20" s="49">
        <f>IFERROR((SUM(D10:D17)-SUM(F10:F17))/60,0)</f>
        <v>10.08333333</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9.14"/>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156</v>
      </c>
      <c r="C1" s="7"/>
      <c r="D1" s="7"/>
      <c r="E1" s="7"/>
      <c r="F1" s="7"/>
      <c r="G1" s="7"/>
      <c r="H1" s="7"/>
      <c r="I1" s="7"/>
      <c r="J1" s="8"/>
    </row>
    <row r="2" ht="4.5" customHeight="1">
      <c r="B2" s="11"/>
      <c r="C2" s="7"/>
      <c r="D2" s="7"/>
      <c r="E2" s="7"/>
      <c r="F2" s="7"/>
      <c r="G2" s="7"/>
      <c r="H2" s="7"/>
      <c r="I2" s="7"/>
      <c r="J2" s="8"/>
    </row>
    <row r="3" ht="21.75" customHeight="1">
      <c r="B3" s="14" t="s">
        <v>8</v>
      </c>
      <c r="C3" s="16" t="s">
        <v>132</v>
      </c>
      <c r="E3" s="14" t="s">
        <v>13</v>
      </c>
      <c r="F3" s="17"/>
      <c r="H3" s="14" t="s">
        <v>21</v>
      </c>
      <c r="I3" s="17"/>
    </row>
    <row r="4" ht="21.75" customHeight="1">
      <c r="B4" s="19" t="s">
        <v>24</v>
      </c>
      <c r="C4" s="7"/>
      <c r="D4" s="7"/>
      <c r="E4" s="7"/>
      <c r="F4" s="7"/>
      <c r="G4" s="7"/>
      <c r="H4" s="7"/>
      <c r="I4" s="7"/>
      <c r="J4" s="8"/>
    </row>
    <row r="5" ht="48.0" customHeight="1">
      <c r="B5" s="21" t="s">
        <v>157</v>
      </c>
      <c r="C5" s="21"/>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62.25" customHeight="1">
      <c r="B10" s="25" t="s">
        <v>160</v>
      </c>
      <c r="C10" s="26" t="s">
        <v>45</v>
      </c>
      <c r="D10" s="27">
        <v>30.0</v>
      </c>
      <c r="E10" s="28" t="s">
        <v>43</v>
      </c>
      <c r="F10" s="29">
        <v>3.0</v>
      </c>
      <c r="G10" s="31">
        <f t="shared" ref="G10:G17" si="1">IFERROR(D10-F10,"")</f>
        <v>27</v>
      </c>
      <c r="H10" s="32">
        <f t="shared" ref="H10:H17" si="2">IFERROR(IF(D10&gt;0,(D10-F10)/D10,0),"")</f>
        <v>0.9</v>
      </c>
      <c r="I10" s="35">
        <f t="shared" ref="I10:I14" si="3">IFERROR(G10/60,"")</f>
        <v>0.45</v>
      </c>
      <c r="J10" s="36" t="s">
        <v>162</v>
      </c>
    </row>
    <row r="11" ht="49.5" customHeight="1">
      <c r="B11" s="25" t="s">
        <v>163</v>
      </c>
      <c r="C11" s="26" t="s">
        <v>45</v>
      </c>
      <c r="D11" s="27">
        <v>20.0</v>
      </c>
      <c r="E11" s="28" t="s">
        <v>43</v>
      </c>
      <c r="F11" s="29">
        <v>5.0</v>
      </c>
      <c r="G11" s="31">
        <f t="shared" si="1"/>
        <v>15</v>
      </c>
      <c r="H11" s="32">
        <f t="shared" si="2"/>
        <v>0.75</v>
      </c>
      <c r="I11" s="35">
        <f t="shared" si="3"/>
        <v>0.25</v>
      </c>
      <c r="J11" s="38" t="s">
        <v>164</v>
      </c>
    </row>
    <row r="12" ht="80.25" customHeight="1">
      <c r="B12" s="25" t="s">
        <v>165</v>
      </c>
      <c r="C12" s="26" t="s">
        <v>45</v>
      </c>
      <c r="D12" s="27">
        <v>20.0</v>
      </c>
      <c r="E12" s="28" t="s">
        <v>43</v>
      </c>
      <c r="F12" s="29">
        <v>5.0</v>
      </c>
      <c r="G12" s="31">
        <f t="shared" si="1"/>
        <v>15</v>
      </c>
      <c r="H12" s="32">
        <f t="shared" si="2"/>
        <v>0.75</v>
      </c>
      <c r="I12" s="35">
        <f t="shared" si="3"/>
        <v>0.25</v>
      </c>
      <c r="J12" s="36" t="s">
        <v>167</v>
      </c>
    </row>
    <row r="13" ht="81.75" customHeight="1">
      <c r="B13" s="25" t="s">
        <v>168</v>
      </c>
      <c r="C13" s="26" t="s">
        <v>45</v>
      </c>
      <c r="D13" s="27">
        <v>30.0</v>
      </c>
      <c r="E13" s="28" t="s">
        <v>43</v>
      </c>
      <c r="F13" s="29">
        <v>5.0</v>
      </c>
      <c r="G13" s="31">
        <f t="shared" si="1"/>
        <v>25</v>
      </c>
      <c r="H13" s="32">
        <f t="shared" si="2"/>
        <v>0.8333333333</v>
      </c>
      <c r="I13" s="35">
        <f t="shared" si="3"/>
        <v>0.4166666667</v>
      </c>
      <c r="J13" s="38" t="s">
        <v>171</v>
      </c>
    </row>
    <row r="14" ht="97.5" customHeight="1">
      <c r="B14" s="25" t="s">
        <v>172</v>
      </c>
      <c r="C14" s="26" t="s">
        <v>45</v>
      </c>
      <c r="D14" s="27">
        <v>30.0</v>
      </c>
      <c r="E14" s="28" t="s">
        <v>43</v>
      </c>
      <c r="F14" s="29">
        <v>2.0</v>
      </c>
      <c r="G14" s="31">
        <f t="shared" si="1"/>
        <v>28</v>
      </c>
      <c r="H14" s="32">
        <f t="shared" si="2"/>
        <v>0.9333333333</v>
      </c>
      <c r="I14" s="35">
        <f t="shared" si="3"/>
        <v>0.4666666667</v>
      </c>
      <c r="J14" s="36" t="s">
        <v>174</v>
      </c>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5</v>
      </c>
      <c r="C20" s="48"/>
      <c r="D20" s="49">
        <f>IFERROR(SUM(D10:D17)/60,0)</f>
        <v>2.166666667</v>
      </c>
      <c r="E20" s="48"/>
      <c r="F20" s="49">
        <f>IFERROR(SUM(F10:F17)/60,0)</f>
        <v>0.3333333333</v>
      </c>
      <c r="G20" s="48"/>
      <c r="H20" s="49">
        <f>IFERROR((SUM(D10:D17)-SUM(F10:F17))/60,0)</f>
        <v>1.833333333</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2.29"/>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170</v>
      </c>
      <c r="C1" s="7"/>
      <c r="D1" s="7"/>
      <c r="E1" s="7"/>
      <c r="F1" s="7"/>
      <c r="G1" s="7"/>
      <c r="H1" s="7"/>
      <c r="I1" s="7"/>
      <c r="J1" s="8"/>
    </row>
    <row r="2" ht="4.5" customHeight="1">
      <c r="B2" s="11"/>
      <c r="C2" s="7"/>
      <c r="D2" s="7"/>
      <c r="E2" s="7"/>
      <c r="F2" s="7"/>
      <c r="G2" s="7"/>
      <c r="H2" s="7"/>
      <c r="I2" s="7"/>
      <c r="J2" s="8"/>
    </row>
    <row r="3" ht="21.75" customHeight="1">
      <c r="B3" s="14" t="s">
        <v>8</v>
      </c>
      <c r="C3" s="16" t="s">
        <v>23</v>
      </c>
      <c r="E3" s="14" t="s">
        <v>13</v>
      </c>
      <c r="F3" s="46" t="s">
        <v>177</v>
      </c>
      <c r="H3" s="14" t="s">
        <v>21</v>
      </c>
      <c r="I3" s="46">
        <v>1.0</v>
      </c>
    </row>
    <row r="4" ht="21.75" customHeight="1">
      <c r="B4" s="19" t="s">
        <v>24</v>
      </c>
      <c r="C4" s="7"/>
      <c r="D4" s="7"/>
      <c r="E4" s="7"/>
      <c r="F4" s="7"/>
      <c r="G4" s="7"/>
      <c r="H4" s="7"/>
      <c r="I4" s="7"/>
      <c r="J4" s="8"/>
    </row>
    <row r="5" ht="40.5" customHeight="1">
      <c r="B5" s="21" t="s">
        <v>180</v>
      </c>
      <c r="D5" s="21" t="s">
        <v>181</v>
      </c>
      <c r="F5" s="21" t="s">
        <v>182</v>
      </c>
      <c r="H5" s="21" t="s">
        <v>183</v>
      </c>
    </row>
    <row r="6" ht="19.5" customHeight="1">
      <c r="B6" s="21" t="s">
        <v>184</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c r="B10" s="25" t="s">
        <v>191</v>
      </c>
      <c r="C10" s="26" t="s">
        <v>126</v>
      </c>
      <c r="D10" s="27">
        <v>120.0</v>
      </c>
      <c r="E10" s="28" t="s">
        <v>43</v>
      </c>
      <c r="F10" s="29">
        <v>5.0</v>
      </c>
      <c r="G10" s="31">
        <f t="shared" ref="G10:G18" si="1">IFERROR(D10-F10,"")</f>
        <v>115</v>
      </c>
      <c r="H10" s="32">
        <f t="shared" ref="H10:H18" si="2">IFERROR(IF(D10&gt;0,(D10-F10)/D10,0),"")</f>
        <v>0.9583333333</v>
      </c>
      <c r="I10" s="35">
        <f t="shared" ref="I10:I18" si="3">IFERROR(G10/60,"")</f>
        <v>1.916666667</v>
      </c>
      <c r="J10" s="66" t="s">
        <v>194</v>
      </c>
    </row>
    <row r="11">
      <c r="B11" s="25" t="s">
        <v>195</v>
      </c>
      <c r="C11" s="26" t="s">
        <v>126</v>
      </c>
      <c r="D11" s="27">
        <v>480.0</v>
      </c>
      <c r="E11" s="28" t="s">
        <v>43</v>
      </c>
      <c r="F11" s="29">
        <v>25.0</v>
      </c>
      <c r="G11" s="31">
        <f t="shared" si="1"/>
        <v>455</v>
      </c>
      <c r="H11" s="32">
        <f t="shared" si="2"/>
        <v>0.9479166667</v>
      </c>
      <c r="I11" s="35">
        <f t="shared" si="3"/>
        <v>7.583333333</v>
      </c>
      <c r="J11" s="66" t="s">
        <v>194</v>
      </c>
    </row>
    <row r="12">
      <c r="B12" s="25" t="s">
        <v>198</v>
      </c>
      <c r="C12" s="26" t="s">
        <v>45</v>
      </c>
      <c r="D12" s="27">
        <v>120.0</v>
      </c>
      <c r="E12" s="28" t="s">
        <v>43</v>
      </c>
      <c r="F12" s="29">
        <v>30.0</v>
      </c>
      <c r="G12" s="31">
        <f t="shared" si="1"/>
        <v>90</v>
      </c>
      <c r="H12" s="32">
        <f t="shared" si="2"/>
        <v>0.75</v>
      </c>
      <c r="I12" s="35">
        <f t="shared" si="3"/>
        <v>1.5</v>
      </c>
      <c r="J12" s="66" t="s">
        <v>194</v>
      </c>
    </row>
    <row r="13">
      <c r="B13" s="25" t="s">
        <v>199</v>
      </c>
      <c r="C13" s="26" t="s">
        <v>45</v>
      </c>
      <c r="D13" s="27">
        <v>720.0</v>
      </c>
      <c r="E13" s="28" t="s">
        <v>43</v>
      </c>
      <c r="F13" s="29">
        <v>180.0</v>
      </c>
      <c r="G13" s="31">
        <f t="shared" si="1"/>
        <v>540</v>
      </c>
      <c r="H13" s="32">
        <f t="shared" si="2"/>
        <v>0.75</v>
      </c>
      <c r="I13" s="35">
        <f t="shared" si="3"/>
        <v>9</v>
      </c>
      <c r="J13" s="66" t="s">
        <v>194</v>
      </c>
    </row>
    <row r="14" ht="47.25" customHeight="1">
      <c r="B14" s="41" t="s">
        <v>202</v>
      </c>
      <c r="C14" s="42" t="s">
        <v>45</v>
      </c>
      <c r="D14" s="43">
        <v>1440.0</v>
      </c>
      <c r="E14" s="44" t="s">
        <v>43</v>
      </c>
      <c r="F14" s="45">
        <v>300.0</v>
      </c>
      <c r="G14" s="31">
        <f t="shared" si="1"/>
        <v>1140</v>
      </c>
      <c r="H14" s="32">
        <f t="shared" si="2"/>
        <v>0.7916666667</v>
      </c>
      <c r="I14" s="35">
        <f t="shared" si="3"/>
        <v>19</v>
      </c>
      <c r="J14" s="36"/>
    </row>
    <row r="15">
      <c r="B15" s="41" t="s">
        <v>206</v>
      </c>
      <c r="C15" s="42" t="s">
        <v>45</v>
      </c>
      <c r="D15" s="43">
        <v>60.0</v>
      </c>
      <c r="E15" s="44" t="s">
        <v>43</v>
      </c>
      <c r="F15" s="45">
        <v>10.0</v>
      </c>
      <c r="G15" s="31">
        <f t="shared" si="1"/>
        <v>50</v>
      </c>
      <c r="H15" s="32">
        <f t="shared" si="2"/>
        <v>0.8333333333</v>
      </c>
      <c r="I15" s="35">
        <f t="shared" si="3"/>
        <v>0.8333333333</v>
      </c>
      <c r="J15" s="40" t="s">
        <v>207</v>
      </c>
    </row>
    <row r="16">
      <c r="B16" s="41" t="s">
        <v>208</v>
      </c>
      <c r="C16" s="42" t="s">
        <v>71</v>
      </c>
      <c r="D16" s="43">
        <v>15.0</v>
      </c>
      <c r="E16" s="44" t="s">
        <v>43</v>
      </c>
      <c r="F16" s="45">
        <v>1.0</v>
      </c>
      <c r="G16" s="31">
        <f t="shared" si="1"/>
        <v>14</v>
      </c>
      <c r="H16" s="32">
        <f t="shared" si="2"/>
        <v>0.9333333333</v>
      </c>
      <c r="I16" s="35">
        <f t="shared" si="3"/>
        <v>0.2333333333</v>
      </c>
      <c r="J16" s="68" t="s">
        <v>209</v>
      </c>
    </row>
    <row r="17">
      <c r="B17" s="41" t="s">
        <v>210</v>
      </c>
      <c r="C17" s="42" t="s">
        <v>71</v>
      </c>
      <c r="D17" s="43">
        <v>120.0</v>
      </c>
      <c r="E17" s="44" t="s">
        <v>43</v>
      </c>
      <c r="F17" s="45">
        <v>90.0</v>
      </c>
      <c r="G17" s="31">
        <f t="shared" si="1"/>
        <v>30</v>
      </c>
      <c r="H17" s="32">
        <f t="shared" si="2"/>
        <v>0.25</v>
      </c>
      <c r="I17" s="35">
        <f t="shared" si="3"/>
        <v>0.5</v>
      </c>
      <c r="J17" s="40" t="s">
        <v>211</v>
      </c>
    </row>
    <row r="18">
      <c r="B18" s="41" t="s">
        <v>212</v>
      </c>
      <c r="C18" s="42" t="s">
        <v>49</v>
      </c>
      <c r="D18" s="43">
        <v>180.0</v>
      </c>
      <c r="E18" s="44" t="s">
        <v>43</v>
      </c>
      <c r="F18" s="45">
        <v>30.0</v>
      </c>
      <c r="G18" s="31">
        <f t="shared" si="1"/>
        <v>150</v>
      </c>
      <c r="H18" s="32">
        <f t="shared" si="2"/>
        <v>0.8333333333</v>
      </c>
      <c r="I18" s="35">
        <f t="shared" si="3"/>
        <v>2.5</v>
      </c>
      <c r="J18" s="40" t="s">
        <v>213</v>
      </c>
    </row>
    <row r="19">
      <c r="B19" s="41"/>
      <c r="C19" s="42"/>
      <c r="D19" s="43"/>
      <c r="E19" s="44"/>
      <c r="F19" s="45"/>
      <c r="G19" s="31"/>
      <c r="H19" s="32"/>
      <c r="I19" s="35"/>
      <c r="J19" s="40"/>
    </row>
    <row r="20">
      <c r="B20" s="41"/>
      <c r="C20" s="42"/>
      <c r="D20" s="43"/>
      <c r="E20" s="44"/>
      <c r="F20" s="45"/>
      <c r="G20" s="31"/>
      <c r="H20" s="32"/>
      <c r="I20" s="35"/>
      <c r="J20" s="40"/>
    </row>
    <row r="21">
      <c r="B21" s="41"/>
      <c r="C21" s="42"/>
      <c r="D21" s="43"/>
      <c r="E21" s="44"/>
      <c r="F21" s="45"/>
      <c r="G21" s="31"/>
      <c r="H21" s="32"/>
      <c r="I21" s="35"/>
      <c r="J21" s="40"/>
    </row>
    <row r="22">
      <c r="B22" s="41"/>
      <c r="C22" s="42"/>
      <c r="D22" s="43"/>
      <c r="E22" s="44"/>
      <c r="F22" s="45"/>
      <c r="G22" s="31"/>
      <c r="H22" s="32"/>
      <c r="I22" s="35"/>
      <c r="J22" s="40"/>
    </row>
    <row r="23" ht="7.5" customHeight="1">
      <c r="B23" s="11"/>
      <c r="C23" s="7"/>
      <c r="D23" s="7"/>
      <c r="E23" s="7"/>
      <c r="F23" s="7"/>
      <c r="G23" s="7"/>
      <c r="H23" s="7"/>
      <c r="I23" s="7"/>
      <c r="J23" s="8"/>
    </row>
    <row r="24" ht="21.75" customHeight="1">
      <c r="B24" s="22" t="s">
        <v>118</v>
      </c>
      <c r="C24" s="7"/>
      <c r="D24" s="7"/>
      <c r="E24" s="7"/>
      <c r="F24" s="7"/>
      <c r="G24" s="7"/>
      <c r="H24" s="7"/>
      <c r="I24" s="7"/>
      <c r="J24" s="8"/>
    </row>
    <row r="25" ht="43.5" customHeight="1">
      <c r="B25" s="47">
        <f>COUNTA(B10:B22)</f>
      </c>
      <c r="C25" s="48"/>
      <c r="D25" s="49">
        <f>IFERROR(SUM(D10:D22)/60,0)</f>
      </c>
      <c r="E25" s="48"/>
      <c r="F25" s="49">
        <f>IFERROR(SUM(F10:F22)/60,0)</f>
      </c>
      <c r="G25" s="48"/>
      <c r="H25" s="49">
        <f>IFERROR((SUM(D10:D22)-SUM(F10:F22))/60,0)</f>
      </c>
      <c r="I25" s="50"/>
      <c r="J25" s="48"/>
    </row>
    <row r="26" ht="33.0" customHeight="1">
      <c r="B26" s="51" t="s">
        <v>14</v>
      </c>
      <c r="C26" s="8"/>
      <c r="D26" s="51" t="s">
        <v>16</v>
      </c>
      <c r="E26" s="8"/>
      <c r="F26" s="51" t="s">
        <v>17</v>
      </c>
      <c r="G26" s="8"/>
      <c r="H26" s="51" t="s">
        <v>19</v>
      </c>
      <c r="I26" s="7"/>
      <c r="J26" s="8"/>
    </row>
    <row r="27" ht="24.0" customHeight="1">
      <c r="B27" s="52" t="s">
        <v>128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5">
    <mergeCell ref="D25:E25"/>
    <mergeCell ref="F25:G25"/>
    <mergeCell ref="B26:C26"/>
    <mergeCell ref="D26:E26"/>
    <mergeCell ref="F26:G26"/>
    <mergeCell ref="H26:J26"/>
    <mergeCell ref="B27:J27"/>
    <mergeCell ref="B1:J1"/>
    <mergeCell ref="B2:J2"/>
    <mergeCell ref="B4:J4"/>
    <mergeCell ref="B8:J8"/>
    <mergeCell ref="B23:J23"/>
    <mergeCell ref="B24:J24"/>
    <mergeCell ref="B25:C25"/>
    <mergeCell ref="H25:J25"/>
  </mergeCells>
  <dataValidations>
    <dataValidation type="list" allowBlank="1" sqref="E10:E22">
      <formula1>"Claude,Gemini,ChatGPT,NotebookLM,Perplexity,Otter.ai,Gamma,Otro"</formula1>
    </dataValidation>
    <dataValidation type="list" allowBlank="1" sqref="C10:C22">
      <formula1>"Diaria,Semanal,Quincenal,Mensual,Ocasional"</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1.14"/>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43.43"/>
    <col customWidth="1" min="11" max="12" width="8.71"/>
  </cols>
  <sheetData>
    <row r="1" ht="39.75" customHeight="1">
      <c r="B1" s="6" t="s">
        <v>176</v>
      </c>
      <c r="C1" s="7"/>
      <c r="D1" s="7"/>
      <c r="E1" s="7"/>
      <c r="F1" s="7"/>
      <c r="G1" s="7"/>
      <c r="H1" s="7"/>
      <c r="I1" s="7"/>
      <c r="J1" s="8"/>
    </row>
    <row r="2" ht="4.5" customHeight="1">
      <c r="B2" s="11"/>
      <c r="C2" s="7"/>
      <c r="D2" s="7"/>
      <c r="E2" s="7"/>
      <c r="F2" s="7"/>
      <c r="G2" s="7"/>
      <c r="H2" s="7"/>
      <c r="I2" s="7"/>
      <c r="J2" s="8"/>
    </row>
    <row r="3" ht="21.75" customHeight="1">
      <c r="B3" s="14" t="s">
        <v>8</v>
      </c>
      <c r="C3" s="16" t="s">
        <v>129</v>
      </c>
      <c r="E3" s="14" t="s">
        <v>13</v>
      </c>
      <c r="F3" s="17"/>
      <c r="H3" s="14" t="s">
        <v>21</v>
      </c>
      <c r="I3" s="17"/>
    </row>
    <row r="4" ht="21.75" customHeight="1">
      <c r="B4" s="19" t="s">
        <v>24</v>
      </c>
      <c r="C4" s="7"/>
      <c r="D4" s="7"/>
      <c r="E4" s="7"/>
      <c r="F4" s="7"/>
      <c r="G4" s="7"/>
      <c r="H4" s="7"/>
      <c r="I4" s="7"/>
      <c r="J4" s="8"/>
    </row>
    <row r="5" ht="42.0" customHeight="1">
      <c r="B5" s="21" t="s">
        <v>187</v>
      </c>
      <c r="D5" s="21" t="s">
        <v>188</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c r="B10" s="25" t="s">
        <v>192</v>
      </c>
      <c r="C10" s="26" t="s">
        <v>71</v>
      </c>
      <c r="D10" s="27">
        <v>10.0</v>
      </c>
      <c r="E10" s="28" t="s">
        <v>43</v>
      </c>
      <c r="F10" s="29">
        <v>2.0</v>
      </c>
      <c r="G10" s="31">
        <f t="shared" ref="G10:G17" si="1">IFERROR(D10-F10,"")</f>
        <v>8</v>
      </c>
      <c r="H10" s="32">
        <f t="shared" ref="H10:H17" si="2">IFERROR(IF(D10&gt;0,(D10-F10)/D10,0),"")</f>
        <v>0.8</v>
      </c>
      <c r="I10" s="35">
        <f t="shared" ref="I10:I17" si="3">IFERROR(G10/60,"")</f>
        <v>0.1333333333</v>
      </c>
      <c r="J10" s="36" t="s">
        <v>196</v>
      </c>
    </row>
    <row r="11" ht="64.5" customHeight="1">
      <c r="B11" s="25" t="s">
        <v>197</v>
      </c>
      <c r="C11" s="26" t="s">
        <v>45</v>
      </c>
      <c r="D11" s="27">
        <v>240.0</v>
      </c>
      <c r="E11" s="28" t="s">
        <v>43</v>
      </c>
      <c r="F11" s="29">
        <v>30.0</v>
      </c>
      <c r="G11" s="31">
        <f t="shared" si="1"/>
        <v>210</v>
      </c>
      <c r="H11" s="32">
        <f t="shared" si="2"/>
        <v>0.875</v>
      </c>
      <c r="I11" s="35">
        <f t="shared" si="3"/>
        <v>3.5</v>
      </c>
      <c r="J11" s="38" t="s">
        <v>200</v>
      </c>
    </row>
    <row r="12">
      <c r="B12" s="25" t="s">
        <v>201</v>
      </c>
      <c r="C12" s="26" t="s">
        <v>49</v>
      </c>
      <c r="D12" s="27">
        <v>480.0</v>
      </c>
      <c r="E12" s="28" t="s">
        <v>43</v>
      </c>
      <c r="F12" s="29">
        <v>40.0</v>
      </c>
      <c r="G12" s="31">
        <f t="shared" si="1"/>
        <v>440</v>
      </c>
      <c r="H12" s="32">
        <f t="shared" si="2"/>
        <v>0.9166666667</v>
      </c>
      <c r="I12" s="35">
        <f t="shared" si="3"/>
        <v>7.333333333</v>
      </c>
      <c r="J12" s="36" t="s">
        <v>203</v>
      </c>
    </row>
    <row r="13" ht="57.0" customHeight="1">
      <c r="B13" s="25" t="s">
        <v>204</v>
      </c>
      <c r="C13" s="26" t="s">
        <v>45</v>
      </c>
      <c r="D13" s="27">
        <v>960.0</v>
      </c>
      <c r="E13" s="28" t="s">
        <v>43</v>
      </c>
      <c r="F13" s="29">
        <v>10.0</v>
      </c>
      <c r="G13" s="31">
        <f t="shared" si="1"/>
        <v>950</v>
      </c>
      <c r="H13" s="32">
        <f t="shared" si="2"/>
        <v>0.9895833333</v>
      </c>
      <c r="I13" s="35">
        <f t="shared" si="3"/>
        <v>15.83333333</v>
      </c>
      <c r="J13" s="38" t="s">
        <v>205</v>
      </c>
    </row>
    <row r="14" ht="24.0" customHeight="1">
      <c r="B14" s="25"/>
      <c r="C14" s="26"/>
      <c r="D14" s="27"/>
      <c r="E14" s="28"/>
      <c r="F14" s="29"/>
      <c r="G14" s="31">
        <f t="shared" si="1"/>
        <v>0</v>
      </c>
      <c r="H14" s="32">
        <f t="shared" si="2"/>
        <v>0</v>
      </c>
      <c r="I14" s="35">
        <f t="shared" si="3"/>
        <v>0</v>
      </c>
      <c r="J14" s="38"/>
      <c r="L14" s="67"/>
    </row>
    <row r="15" ht="24.0" customHeight="1">
      <c r="B15" s="25"/>
      <c r="C15" s="26"/>
      <c r="D15" s="27"/>
      <c r="E15" s="28"/>
      <c r="F15" s="29"/>
      <c r="G15" s="31">
        <f t="shared" si="1"/>
        <v>0</v>
      </c>
      <c r="H15" s="32">
        <f t="shared" si="2"/>
        <v>0</v>
      </c>
      <c r="I15" s="35">
        <f t="shared" si="3"/>
        <v>0</v>
      </c>
      <c r="J15" s="38"/>
      <c r="L15" s="67"/>
    </row>
    <row r="16" ht="24.0" customHeight="1">
      <c r="B16" s="25"/>
      <c r="C16" s="26"/>
      <c r="D16" s="27"/>
      <c r="E16" s="28"/>
      <c r="F16" s="29"/>
      <c r="G16" s="31">
        <f t="shared" si="1"/>
        <v>0</v>
      </c>
      <c r="H16" s="32">
        <f t="shared" si="2"/>
        <v>0</v>
      </c>
      <c r="I16" s="35">
        <f t="shared" si="3"/>
        <v>0</v>
      </c>
      <c r="J16" s="38"/>
      <c r="L16" s="67"/>
    </row>
    <row r="17" ht="24.0" customHeight="1">
      <c r="B17" s="25"/>
      <c r="C17" s="26"/>
      <c r="D17" s="27"/>
      <c r="E17" s="28"/>
      <c r="F17" s="29"/>
      <c r="G17" s="31">
        <f t="shared" si="1"/>
        <v>0</v>
      </c>
      <c r="H17" s="32">
        <f t="shared" si="2"/>
        <v>0</v>
      </c>
      <c r="I17" s="35">
        <f t="shared" si="3"/>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4</v>
      </c>
      <c r="C20" s="48"/>
      <c r="D20" s="49">
        <f>IFERROR(SUM(D10:D17)/60,0)</f>
        <v>28.16666667</v>
      </c>
      <c r="E20" s="48"/>
      <c r="F20" s="49">
        <f>IFERROR(SUM(F10:F17)/60,0)</f>
        <v>1.366666667</v>
      </c>
      <c r="G20" s="48"/>
      <c r="H20" s="49">
        <f>IFERROR((SUM(D10:D17)-SUM(F10:F17))/60,0)</f>
        <v>26.8</v>
      </c>
      <c r="I20" s="50"/>
      <c r="J20" s="48"/>
    </row>
    <row r="21" ht="37.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214</v>
      </c>
      <c r="C1" s="7"/>
      <c r="D1" s="7"/>
      <c r="E1" s="7"/>
      <c r="F1" s="7"/>
      <c r="G1" s="7"/>
      <c r="H1" s="7"/>
      <c r="I1" s="7"/>
      <c r="J1" s="8"/>
    </row>
    <row r="2" ht="4.5" customHeight="1">
      <c r="B2" s="11"/>
      <c r="C2" s="7"/>
      <c r="D2" s="7"/>
      <c r="E2" s="7"/>
      <c r="F2" s="7"/>
      <c r="G2" s="7"/>
      <c r="H2" s="7"/>
      <c r="I2" s="7"/>
      <c r="J2" s="8"/>
    </row>
    <row r="3" ht="21.75" customHeight="1">
      <c r="B3" s="14" t="s">
        <v>8</v>
      </c>
      <c r="C3" s="16" t="s">
        <v>86</v>
      </c>
      <c r="E3" s="14" t="s">
        <v>13</v>
      </c>
      <c r="F3" s="17"/>
      <c r="H3" s="14" t="s">
        <v>21</v>
      </c>
      <c r="I3" s="17"/>
    </row>
    <row r="4" ht="21.75" customHeight="1">
      <c r="B4" s="19" t="s">
        <v>24</v>
      </c>
      <c r="C4" s="7"/>
      <c r="D4" s="7"/>
      <c r="E4" s="7"/>
      <c r="F4" s="7"/>
      <c r="G4" s="7"/>
      <c r="H4" s="7"/>
      <c r="I4" s="7"/>
      <c r="J4" s="8"/>
    </row>
    <row r="5" ht="54.75" customHeight="1">
      <c r="B5" s="21" t="s">
        <v>215</v>
      </c>
      <c r="D5" s="21" t="s">
        <v>216</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c r="B10" s="25" t="s">
        <v>217</v>
      </c>
      <c r="C10" s="26" t="s">
        <v>49</v>
      </c>
      <c r="D10" s="27">
        <v>480.0</v>
      </c>
      <c r="E10" s="28" t="s">
        <v>43</v>
      </c>
      <c r="F10" s="29">
        <v>180.0</v>
      </c>
      <c r="G10" s="31">
        <f t="shared" ref="G10:G17" si="1">IFERROR(D10-F10,"")</f>
        <v>300</v>
      </c>
      <c r="H10" s="32">
        <f t="shared" ref="H10:H17" si="2">IFERROR(IF(D10&gt;0,(D10-F10)/D10,0),"")</f>
        <v>0.625</v>
      </c>
      <c r="I10" s="35">
        <f t="shared" ref="I10:I17" si="3">IFERROR(G10/60,"")</f>
        <v>5</v>
      </c>
      <c r="J10" s="36" t="s">
        <v>218</v>
      </c>
    </row>
    <row r="11">
      <c r="B11" s="25" t="s">
        <v>219</v>
      </c>
      <c r="C11" s="26" t="s">
        <v>49</v>
      </c>
      <c r="D11" s="27">
        <v>240.0</v>
      </c>
      <c r="E11" s="28" t="s">
        <v>43</v>
      </c>
      <c r="F11" s="29">
        <v>10.0</v>
      </c>
      <c r="G11" s="31">
        <f t="shared" si="1"/>
        <v>230</v>
      </c>
      <c r="H11" s="32">
        <f t="shared" si="2"/>
        <v>0.9583333333</v>
      </c>
      <c r="I11" s="35">
        <f t="shared" si="3"/>
        <v>3.833333333</v>
      </c>
      <c r="J11" s="38" t="s">
        <v>223</v>
      </c>
    </row>
    <row r="12">
      <c r="B12" s="41" t="s">
        <v>224</v>
      </c>
      <c r="C12" s="42" t="s">
        <v>45</v>
      </c>
      <c r="D12" s="43">
        <v>60.0</v>
      </c>
      <c r="E12" s="44" t="s">
        <v>43</v>
      </c>
      <c r="F12" s="45">
        <v>5.0</v>
      </c>
      <c r="G12" s="31">
        <f t="shared" si="1"/>
        <v>55</v>
      </c>
      <c r="H12" s="32">
        <f t="shared" si="2"/>
        <v>0.9166666667</v>
      </c>
      <c r="I12" s="35">
        <f t="shared" si="3"/>
        <v>0.9166666667</v>
      </c>
      <c r="J12" s="68" t="s">
        <v>225</v>
      </c>
    </row>
    <row r="13">
      <c r="B13" s="41" t="s">
        <v>226</v>
      </c>
      <c r="C13" s="42" t="s">
        <v>49</v>
      </c>
      <c r="D13" s="43">
        <v>120.0</v>
      </c>
      <c r="E13" s="44" t="s">
        <v>43</v>
      </c>
      <c r="F13" s="45">
        <v>30.0</v>
      </c>
      <c r="G13" s="31">
        <f t="shared" si="1"/>
        <v>90</v>
      </c>
      <c r="H13" s="32">
        <f t="shared" si="2"/>
        <v>0.75</v>
      </c>
      <c r="I13" s="35">
        <f t="shared" si="3"/>
        <v>1.5</v>
      </c>
      <c r="J13" s="40" t="s">
        <v>227</v>
      </c>
    </row>
    <row r="14" ht="24.0" customHeight="1">
      <c r="B14" s="25"/>
      <c r="C14" s="26"/>
      <c r="D14" s="27"/>
      <c r="E14" s="28"/>
      <c r="F14" s="29"/>
      <c r="G14" s="31">
        <f t="shared" si="1"/>
        <v>0</v>
      </c>
      <c r="H14" s="32">
        <f t="shared" si="2"/>
        <v>0</v>
      </c>
      <c r="I14" s="35">
        <f t="shared" si="3"/>
        <v>0</v>
      </c>
      <c r="J14" s="36"/>
    </row>
    <row r="15" ht="24.0" customHeight="1">
      <c r="B15" s="25"/>
      <c r="C15" s="26"/>
      <c r="D15" s="27"/>
      <c r="E15" s="28"/>
      <c r="F15" s="29"/>
      <c r="G15" s="31">
        <f t="shared" si="1"/>
        <v>0</v>
      </c>
      <c r="H15" s="32">
        <f t="shared" si="2"/>
        <v>0</v>
      </c>
      <c r="I15" s="35">
        <f t="shared" si="3"/>
        <v>0</v>
      </c>
      <c r="J15" s="38"/>
    </row>
    <row r="16" ht="24.0" customHeight="1">
      <c r="B16" s="25"/>
      <c r="C16" s="26"/>
      <c r="D16" s="27"/>
      <c r="E16" s="28"/>
      <c r="F16" s="29"/>
      <c r="G16" s="31">
        <f t="shared" si="1"/>
        <v>0</v>
      </c>
      <c r="H16" s="32">
        <f t="shared" si="2"/>
        <v>0</v>
      </c>
      <c r="I16" s="35">
        <f t="shared" si="3"/>
        <v>0</v>
      </c>
      <c r="J16" s="36"/>
    </row>
    <row r="17" ht="24.0" customHeight="1">
      <c r="B17" s="25"/>
      <c r="C17" s="26"/>
      <c r="D17" s="27"/>
      <c r="E17" s="28"/>
      <c r="F17" s="29"/>
      <c r="G17" s="31">
        <f t="shared" si="1"/>
        <v>0</v>
      </c>
      <c r="H17" s="32">
        <f t="shared" si="2"/>
        <v>0</v>
      </c>
      <c r="I17" s="35">
        <f t="shared" si="3"/>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4</v>
      </c>
      <c r="C20" s="48"/>
      <c r="D20" s="49">
        <f>IFERROR(SUM(D10:D17)/60,0)</f>
        <v>15</v>
      </c>
      <c r="E20" s="48"/>
      <c r="F20" s="49">
        <f>IFERROR(SUM(F10:F17)/60,0)</f>
        <v>3.75</v>
      </c>
      <c r="G20" s="48"/>
      <c r="H20" s="49">
        <f>IFERROR((SUM(D10:D17)-SUM(F10:F17))/60,0)</f>
        <v>11.25</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A1" s="67" t="s">
        <v>220</v>
      </c>
      <c r="B1" s="6" t="s">
        <v>222</v>
      </c>
      <c r="C1" s="7"/>
      <c r="D1" s="7"/>
      <c r="E1" s="7"/>
      <c r="F1" s="7"/>
      <c r="G1" s="7"/>
      <c r="H1" s="7"/>
      <c r="I1" s="7"/>
      <c r="J1" s="8"/>
    </row>
    <row r="2" ht="4.5" customHeight="1">
      <c r="B2" s="11"/>
      <c r="C2" s="7"/>
      <c r="D2" s="7"/>
      <c r="E2" s="7"/>
      <c r="F2" s="7"/>
      <c r="G2" s="7"/>
      <c r="H2" s="7"/>
      <c r="I2" s="7"/>
      <c r="J2" s="8"/>
    </row>
    <row r="3" ht="21.75" customHeight="1">
      <c r="B3" s="14" t="s">
        <v>8</v>
      </c>
      <c r="C3" s="16" t="s">
        <v>143</v>
      </c>
      <c r="E3" s="14" t="s">
        <v>13</v>
      </c>
      <c r="F3" s="17"/>
      <c r="H3" s="14" t="s">
        <v>21</v>
      </c>
      <c r="I3" s="17"/>
    </row>
    <row r="4" ht="21.75" customHeight="1">
      <c r="B4" s="19" t="s">
        <v>24</v>
      </c>
      <c r="C4" s="7"/>
      <c r="D4" s="7"/>
      <c r="E4" s="7"/>
      <c r="F4" s="7"/>
      <c r="G4" s="7"/>
      <c r="H4" s="7"/>
      <c r="I4" s="7"/>
      <c r="J4" s="8"/>
    </row>
    <row r="5" ht="63.75" customHeight="1">
      <c r="B5" s="21" t="s">
        <v>229</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188.25" customHeight="1">
      <c r="B10" s="25" t="s">
        <v>232</v>
      </c>
      <c r="C10" s="42" t="s">
        <v>49</v>
      </c>
      <c r="D10" s="43">
        <v>6400.0</v>
      </c>
      <c r="E10" s="28" t="s">
        <v>43</v>
      </c>
      <c r="F10" s="29">
        <v>480.0</v>
      </c>
      <c r="G10" s="31">
        <f t="shared" ref="G10:G17" si="1">IFERROR(D10-F10,"")</f>
        <v>5920</v>
      </c>
      <c r="H10" s="32">
        <f t="shared" ref="H10:H17" si="2">IFERROR(IF(D10&gt;0,(D10-F10)/D10,0),"")</f>
        <v>0.925</v>
      </c>
      <c r="I10" s="35">
        <f>IFERROR(G10/60,"")</f>
        <v>98.66666667</v>
      </c>
      <c r="J10" s="36" t="s">
        <v>233</v>
      </c>
    </row>
    <row r="11" ht="165" customHeight="1">
      <c r="B11" s="25" t="inlineStr">
        <is>
          <t xml:space="preserve">Conceptos de aptitud del examen médico ocupacional: recomendaciones, alertas y sistema de vigilancia</t>
        </is>
      </c>
      <c r="C11" s="42" t="inlineStr">
        <is>
          <t xml:space="preserve">Por confirmar</t>
        </is>
      </c>
      <c r="D11" s="27"/>
      <c r="E11" s="28" t="inlineStr">
        <is>
          <t xml:space="preserve">Claude</t>
        </is>
      </c>
      <c r="F11" s="29"/>
      <c r="G11" s="31">
        <f t="shared" si="1"/>
      </c>
      <c r="H11" s="32">
        <f t="shared" si="2"/>
      </c>
      <c r="I11" s="36">
        <f>IFERROR(G11/60,"")</f>
      </c>
      <c r="J11" s="37" t="inlineStr">
        <is>
          <t xml:space="preserve">Lo registró Lucía el 9 de octubre de 2026 a partir del acta de la Sesión 2 del 9 de septiembre de 2026. El área trajo la medición hecha por ellos mismos: lo que les tomaba dos meses salió en cinco minutos. Antes se revisaba caso por caso para identificar qué personal viene con recomendaciones, cuál genera alerta y a qué sistema de vigilancia pertenece. El acta pide expresamente registrarlo en el tablero del programa. Los minutos quedan en blanco porque el acta dice dos meses y no dice si son dos meses de calendario o de trabajo efectivo, y esa diferencia cambia la cifra por completo. Lo tiene que decir el área.</t>
        </is>
      </c>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1</v>
      </c>
      <c r="C20" s="48"/>
      <c r="D20" s="49">
        <f>IFERROR(SUM(D10:D17)/60,0)</f>
        <v>106.6666667</v>
      </c>
      <c r="E20" s="48"/>
      <c r="F20" s="49">
        <f>IFERROR(SUM(F10:F17)/60,0)</f>
        <v>8</v>
      </c>
      <c r="G20" s="48"/>
      <c r="H20" s="49">
        <f>IFERROR((SUM(D10:D17)-SUM(F10:F17))/60,0)</f>
        <v>98.66666667</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52.43"/>
  </cols>
  <sheetData>
    <row r="1" ht="39.75" customHeight="1">
      <c r="B1" s="6" t="s">
        <v>221</v>
      </c>
      <c r="C1" s="7"/>
      <c r="D1" s="7"/>
      <c r="E1" s="7"/>
      <c r="F1" s="7"/>
      <c r="G1" s="7"/>
      <c r="H1" s="7"/>
      <c r="I1" s="7"/>
      <c r="J1" s="8"/>
    </row>
    <row r="2" ht="4.5" customHeight="1">
      <c r="B2" s="11"/>
      <c r="C2" s="7"/>
      <c r="D2" s="7"/>
      <c r="E2" s="7"/>
      <c r="F2" s="7"/>
      <c r="G2" s="7"/>
      <c r="H2" s="7"/>
      <c r="I2" s="7"/>
      <c r="J2" s="8"/>
    </row>
    <row r="3" ht="21.75" customHeight="1">
      <c r="B3" s="14" t="s">
        <v>8</v>
      </c>
      <c r="C3" s="16" t="s">
        <v>54</v>
      </c>
      <c r="E3" s="14" t="s">
        <v>13</v>
      </c>
      <c r="F3" s="46" t="s">
        <v>122</v>
      </c>
      <c r="H3" s="14" t="s">
        <v>21</v>
      </c>
      <c r="I3" s="46">
        <v>1.0</v>
      </c>
    </row>
    <row r="4" ht="21.75" customHeight="1">
      <c r="B4" s="19" t="s">
        <v>24</v>
      </c>
      <c r="C4" s="7"/>
      <c r="D4" s="7"/>
      <c r="E4" s="7"/>
      <c r="F4" s="7"/>
      <c r="G4" s="7"/>
      <c r="H4" s="7"/>
      <c r="I4" s="7"/>
      <c r="J4" s="8"/>
    </row>
    <row r="5" ht="70.5" customHeight="1">
      <c r="B5" s="21" t="s">
        <v>228</v>
      </c>
      <c r="D5" s="21" t="s">
        <v>230</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88.5" customHeight="1">
      <c r="B10" s="41" t="s">
        <v>231</v>
      </c>
      <c r="C10" s="26" t="s">
        <v>71</v>
      </c>
      <c r="D10" s="27">
        <v>32.0</v>
      </c>
      <c r="E10" s="28" t="s">
        <v>43</v>
      </c>
      <c r="F10" s="29">
        <v>22.0</v>
      </c>
      <c r="G10" s="31">
        <f t="shared" ref="G10:G17" si="1">IFERROR(D10-F10,"")</f>
        <v>10</v>
      </c>
      <c r="H10" s="32">
        <f t="shared" ref="H10:H17" si="2">IFERROR(IF(D10&gt;0,(D10-F10)/D10,0),"")</f>
        <v>0.3125</v>
      </c>
      <c r="I10" s="35">
        <f>IFERROR(G10/60,"")</f>
        <v>0.1666666667</v>
      </c>
      <c r="J10" s="40" t="s">
        <v>234</v>
      </c>
    </row>
    <row r="11" ht="87.75" customHeight="1">
      <c r="B11" s="41" t="s">
        <v>235</v>
      </c>
      <c r="C11" s="42" t="s">
        <v>49</v>
      </c>
      <c r="D11" s="43">
        <v>1200.0</v>
      </c>
      <c r="E11" s="44" t="s">
        <v>43</v>
      </c>
      <c r="F11" s="45">
        <v>600.0</v>
      </c>
      <c r="G11" s="31">
        <f t="shared" si="1"/>
        <v>600</v>
      </c>
      <c r="H11" s="32">
        <f t="shared" si="2"/>
        <v>0.5</v>
      </c>
      <c r="I11" s="32" t="str">
        <f>IFERROR(IF(E11&gt;0,(E11-G11)/E11,0),"")</f>
        <v/>
      </c>
      <c r="J11" s="40" t="s">
        <v>236</v>
      </c>
    </row>
    <row r="12" ht="88.5" customHeight="1">
      <c r="B12" s="41" t="s">
        <v>237</v>
      </c>
      <c r="C12" s="42" t="s">
        <v>71</v>
      </c>
      <c r="D12" s="43">
        <v>25.0</v>
      </c>
      <c r="E12" s="44" t="s">
        <v>43</v>
      </c>
      <c r="F12" s="45">
        <v>15.0</v>
      </c>
      <c r="G12" s="31">
        <f t="shared" si="1"/>
        <v>10</v>
      </c>
      <c r="H12" s="32">
        <f t="shared" si="2"/>
        <v>0.4</v>
      </c>
      <c r="I12" s="32"/>
      <c r="J12" s="68" t="s">
        <v>238</v>
      </c>
    </row>
    <row r="13" ht="51.0" customHeight="1">
      <c r="B13" s="41" t="s">
        <v>239</v>
      </c>
      <c r="C13" s="42" t="s">
        <v>45</v>
      </c>
      <c r="D13" s="43">
        <v>300.0</v>
      </c>
      <c r="E13" s="44" t="s">
        <v>43</v>
      </c>
      <c r="F13" s="45">
        <v>30.0</v>
      </c>
      <c r="G13" s="31">
        <f t="shared" si="1"/>
        <v>270</v>
      </c>
      <c r="H13" s="32">
        <f t="shared" si="2"/>
        <v>0.9</v>
      </c>
      <c r="I13" s="32"/>
      <c r="J13" s="38"/>
    </row>
    <row r="14" ht="54.75" customHeight="1">
      <c r="B14" s="41" t="s">
        <v>240</v>
      </c>
      <c r="C14" s="42" t="s">
        <v>49</v>
      </c>
      <c r="D14" s="43">
        <v>180.0</v>
      </c>
      <c r="E14" s="44" t="s">
        <v>43</v>
      </c>
      <c r="F14" s="45">
        <v>60.0</v>
      </c>
      <c r="G14" s="31">
        <f t="shared" si="1"/>
        <v>120</v>
      </c>
      <c r="H14" s="32">
        <f t="shared" si="2"/>
        <v>0.6666666667</v>
      </c>
      <c r="I14" s="32"/>
      <c r="J14" s="36"/>
    </row>
    <row r="15" ht="45.75" customHeight="1">
      <c r="B15" s="41" t="s">
        <v>241</v>
      </c>
      <c r="C15" s="26"/>
      <c r="D15" s="27"/>
      <c r="E15" s="28"/>
      <c r="F15" s="29"/>
      <c r="G15" s="31">
        <f t="shared" si="1"/>
        <v>0</v>
      </c>
      <c r="H15" s="32">
        <f t="shared" si="2"/>
        <v>0</v>
      </c>
      <c r="I15" s="32"/>
      <c r="J15" s="38"/>
    </row>
    <row r="16" ht="24.0" customHeight="1">
      <c r="B16" s="25"/>
      <c r="C16" s="26"/>
      <c r="D16" s="27"/>
      <c r="E16" s="28"/>
      <c r="F16" s="29"/>
      <c r="G16" s="31">
        <f t="shared" si="1"/>
        <v>0</v>
      </c>
      <c r="H16" s="32">
        <f t="shared" si="2"/>
        <v>0</v>
      </c>
      <c r="I16" s="32"/>
      <c r="J16" s="36"/>
    </row>
    <row r="17" ht="24.0" customHeight="1">
      <c r="B17" s="25"/>
      <c r="C17" s="26"/>
      <c r="D17" s="27"/>
      <c r="E17" s="28"/>
      <c r="F17" s="29"/>
      <c r="G17" s="31">
        <f t="shared" si="1"/>
        <v>0</v>
      </c>
      <c r="H17" s="32">
        <f t="shared" si="2"/>
        <v>0</v>
      </c>
      <c r="I17" s="32"/>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6</v>
      </c>
      <c r="C20" s="48"/>
      <c r="D20" s="49">
        <f>IFERROR(SUM(D10:D17)/60,0)</f>
        <v>28.95</v>
      </c>
      <c r="E20" s="48"/>
      <c r="F20" s="49">
        <f>IFERROR(SUM(F10:F17)/60,0)</f>
        <v>12.11666667</v>
      </c>
      <c r="G20" s="48"/>
      <c r="H20" s="49">
        <f>IFERROR((SUM(D10:D17)-SUM(F10:F17))/60,0)</f>
        <v>16.83333333</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91.14"/>
  </cols>
  <sheetData>
    <row r="1" ht="39.75" customHeight="1">
      <c r="B1" s="6" t="s">
        <v>242</v>
      </c>
      <c r="C1" s="7"/>
      <c r="D1" s="7"/>
      <c r="E1" s="7"/>
      <c r="F1" s="7"/>
      <c r="G1" s="7"/>
      <c r="H1" s="7"/>
      <c r="I1" s="7"/>
      <c r="J1" s="8"/>
    </row>
    <row r="2" ht="4.5" customHeight="1">
      <c r="B2" s="11"/>
      <c r="C2" s="7"/>
      <c r="D2" s="7"/>
      <c r="E2" s="7"/>
      <c r="F2" s="7"/>
      <c r="G2" s="7"/>
      <c r="H2" s="7"/>
      <c r="I2" s="7"/>
      <c r="J2" s="8"/>
    </row>
    <row r="3" ht="21.75" customHeight="1">
      <c r="B3" s="14" t="s">
        <v>8</v>
      </c>
      <c r="C3" s="16" t="s">
        <v>139</v>
      </c>
      <c r="E3" s="14" t="s">
        <v>13</v>
      </c>
      <c r="F3" s="17"/>
      <c r="H3" s="14" t="s">
        <v>21</v>
      </c>
      <c r="I3" s="17"/>
    </row>
    <row r="4" ht="21.75" customHeight="1">
      <c r="B4" s="19" t="s">
        <v>24</v>
      </c>
      <c r="C4" s="7"/>
      <c r="D4" s="7"/>
      <c r="E4" s="7"/>
      <c r="F4" s="7"/>
      <c r="G4" s="7"/>
      <c r="H4" s="7"/>
      <c r="I4" s="7"/>
      <c r="J4" s="8"/>
    </row>
    <row r="6" ht="2.25" customHeight="1"/>
    <row r="7" ht="19.5" customHeight="1">
      <c r="B7" s="21" t="s">
        <v>243</v>
      </c>
      <c r="D7" s="21" t="s">
        <v>244</v>
      </c>
      <c r="F7" s="21" t="s">
        <v>245</v>
      </c>
      <c r="H7" s="21" t="s">
        <v>246</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56.25" customHeight="1">
      <c r="B10" s="41" t="s">
        <v>247</v>
      </c>
      <c r="C10" s="42" t="s">
        <v>49</v>
      </c>
      <c r="D10" s="43">
        <v>2880.0</v>
      </c>
      <c r="E10" s="44" t="s">
        <v>43</v>
      </c>
      <c r="F10" s="45">
        <v>30.0</v>
      </c>
      <c r="G10" s="31">
        <f t="shared" ref="G10:G17" si="1">IFERROR(D10-F10,"")</f>
        <v>2850</v>
      </c>
      <c r="H10" s="32">
        <f t="shared" ref="H10:H17" si="2">IFERROR(IF(D10&gt;0,(D10-F10)/D10,0),"")</f>
        <v>0.9895833333</v>
      </c>
      <c r="J10" s="69" t="s">
        <v>248</v>
      </c>
    </row>
    <row r="11" ht="43.5" customHeight="1">
      <c r="B11" s="41" t="s">
        <v>249</v>
      </c>
      <c r="C11" s="42" t="s">
        <v>71</v>
      </c>
      <c r="D11" s="43">
        <v>60.0</v>
      </c>
      <c r="E11" s="44" t="s">
        <v>43</v>
      </c>
      <c r="F11" s="45">
        <v>15.0</v>
      </c>
      <c r="G11" s="31">
        <f t="shared" si="1"/>
        <v>45</v>
      </c>
      <c r="H11" s="32">
        <f t="shared" si="2"/>
        <v>0.75</v>
      </c>
      <c r="J11" s="69" t="s">
        <v>250</v>
      </c>
    </row>
    <row r="12" ht="56.25" customHeight="1">
      <c r="B12" s="41" t="s">
        <v>251</v>
      </c>
      <c r="C12" s="42" t="s">
        <v>71</v>
      </c>
      <c r="D12" s="43">
        <v>120.0</v>
      </c>
      <c r="E12" s="44" t="s">
        <v>43</v>
      </c>
      <c r="F12" s="45">
        <v>20.0</v>
      </c>
      <c r="G12" s="31">
        <f t="shared" si="1"/>
        <v>100</v>
      </c>
      <c r="H12" s="32">
        <f t="shared" si="2"/>
        <v>0.8333333333</v>
      </c>
      <c r="J12" s="69" t="s">
        <v>252</v>
      </c>
    </row>
    <row r="13" ht="59.25" customHeight="1">
      <c r="B13" s="41" t="s">
        <v>249</v>
      </c>
      <c r="C13" s="42" t="s">
        <v>71</v>
      </c>
      <c r="D13" s="43">
        <v>1440.0</v>
      </c>
      <c r="E13" s="44" t="s">
        <v>43</v>
      </c>
      <c r="F13" s="45">
        <v>180.0</v>
      </c>
      <c r="G13" s="31">
        <f t="shared" si="1"/>
        <v>1260</v>
      </c>
      <c r="H13" s="32">
        <f t="shared" si="2"/>
        <v>0.875</v>
      </c>
      <c r="J13" s="69" t="s">
        <v>253</v>
      </c>
    </row>
    <row r="14" ht="150" customHeight="1">
      <c r="B14" s="25" t="inlineStr">
        <is>
          <t xml:space="preserve">Cruce con la Registraduría: filtrado por causal y anotaciones</t>
        </is>
      </c>
      <c r="C14" s="42" t="inlineStr">
        <is>
          <t xml:space="preserve">Por confirmar</t>
        </is>
      </c>
      <c r="D14" s="43">
        <v>120</v>
      </c>
      <c r="E14" s="28" t="inlineStr">
        <is>
          <t xml:space="preserve">Claude</t>
        </is>
      </c>
      <c r="F14" s="29">
        <v>10</v>
      </c>
      <c r="G14" s="31">
        <f t="shared" si="1"/>
      </c>
      <c r="H14" s="32">
        <f t="shared" si="2"/>
      </c>
      <c r="I14" s="36">
        <f>IFERROR(G14/60,"")</f>
      </c>
      <c r="J14" s="37" t="inlineStr">
        <is>
          <t xml:space="preserve">Lo registró Lucía el 9 de octubre de 2026 a partir del acta de la Sesión 3 del 8 de septiembre de 2026. Medición tomada en sesión: el archivo que devuelve la Registraduría se pasaba a Excel y se filtraba causal por causal a mano, con las anotaciones, y tomaba dos horas cada vez. Con el proceso montado queda en unos diez minutos y el resultado ya sale con la información necesaria para notificar. La frecuencia la tiene que poner el área: el acta dice cada vez que llega el archivo y no dice cada cuánto llega.</t>
        </is>
      </c>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4</v>
      </c>
      <c r="C20" s="48"/>
      <c r="D20" s="49">
        <f>IFERROR(SUM(D10:D17)/60,0)</f>
        <v>75</v>
      </c>
      <c r="E20" s="48"/>
      <c r="F20" s="49">
        <f>IFERROR(SUM(F10:F17)/60,0)</f>
        <v>4.083333333</v>
      </c>
      <c r="G20" s="48"/>
      <c r="H20" s="49">
        <f>IFERROR((SUM(D10:D17)-SUM(F10:F17))/60,0)</f>
        <v>70.91666667</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254</v>
      </c>
      <c r="C1" s="7"/>
      <c r="D1" s="7"/>
      <c r="E1" s="7"/>
      <c r="F1" s="7"/>
      <c r="G1" s="7"/>
      <c r="H1" s="7"/>
      <c r="I1" s="7"/>
      <c r="J1" s="8"/>
    </row>
    <row r="2" ht="4.5" customHeight="1">
      <c r="B2" s="11"/>
      <c r="C2" s="7"/>
      <c r="D2" s="7"/>
      <c r="E2" s="7"/>
      <c r="F2" s="7"/>
      <c r="G2" s="7"/>
      <c r="H2" s="7"/>
      <c r="I2" s="7"/>
      <c r="J2" s="8"/>
    </row>
    <row r="3" ht="21.75" customHeight="1">
      <c r="B3" s="14" t="s">
        <v>8</v>
      </c>
      <c r="C3" s="16" t="s">
        <v>65</v>
      </c>
      <c r="E3" s="14" t="s">
        <v>13</v>
      </c>
      <c r="F3" s="17"/>
      <c r="H3" s="14" t="s">
        <v>21</v>
      </c>
      <c r="I3" s="17"/>
    </row>
    <row r="4" ht="21.75" customHeight="1">
      <c r="B4" s="19" t="s">
        <v>24</v>
      </c>
      <c r="C4" s="7"/>
      <c r="D4" s="7"/>
      <c r="E4" s="7"/>
      <c r="F4" s="7"/>
      <c r="G4" s="7"/>
      <c r="H4" s="7"/>
      <c r="I4" s="7"/>
      <c r="J4" s="8"/>
    </row>
    <row r="5" ht="51.75" customHeight="1">
      <c r="B5" s="21" t="s">
        <v>256</v>
      </c>
      <c r="D5" s="21" t="s">
        <v>257</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74.25" customHeight="1">
      <c r="B10" s="25" t="s">
        <v>260</v>
      </c>
      <c r="C10" s="26" t="s">
        <v>45</v>
      </c>
      <c r="D10" s="27">
        <v>20.0</v>
      </c>
      <c r="E10" s="28" t="s">
        <v>43</v>
      </c>
      <c r="F10" s="29">
        <v>3.0</v>
      </c>
      <c r="G10" s="31">
        <f t="shared" ref="G10:G17" si="1">IFERROR(D10-F10,"")</f>
        <v>17</v>
      </c>
      <c r="H10" s="32">
        <f t="shared" ref="H10:H17" si="2">IFERROR(IF(D10&gt;0,(D10-F10)/D10,0),"")</f>
        <v>0.85</v>
      </c>
      <c r="I10" s="35">
        <f>IFERROR(G10/60,"")</f>
        <v>0.2833333333</v>
      </c>
      <c r="J10" s="36" t="s">
        <v>262</v>
      </c>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1</v>
      </c>
      <c r="C20" s="48"/>
      <c r="D20" s="49">
        <f>IFERROR(SUM(D10:D17)/60,0)</f>
        <v>0.3333333333</v>
      </c>
      <c r="E20" s="48"/>
      <c r="F20" s="49">
        <f>IFERROR(SUM(F10:F17)/60,0)</f>
        <v>0.05</v>
      </c>
      <c r="G20" s="48"/>
      <c r="H20" s="49">
        <f>IFERROR((SUM(D10:D17)-SUM(F10:F17))/60,0)</f>
        <v>0.2833333333</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8.71"/>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255</v>
      </c>
      <c r="C1" s="7"/>
      <c r="D1" s="7"/>
      <c r="E1" s="7"/>
      <c r="F1" s="7"/>
      <c r="G1" s="7"/>
      <c r="H1" s="7"/>
      <c r="I1" s="7"/>
      <c r="J1" s="8"/>
    </row>
    <row r="2" ht="4.5" customHeight="1">
      <c r="B2" s="11"/>
      <c r="C2" s="7"/>
      <c r="D2" s="7"/>
      <c r="E2" s="7"/>
      <c r="F2" s="7"/>
      <c r="G2" s="7"/>
      <c r="H2" s="7"/>
      <c r="I2" s="7"/>
      <c r="J2" s="8"/>
    </row>
    <row r="3" ht="21.75" customHeight="1">
      <c r="B3" s="14" t="s">
        <v>8</v>
      </c>
      <c r="C3" s="16" t="s">
        <v>127</v>
      </c>
      <c r="E3" s="14" t="s">
        <v>13</v>
      </c>
      <c r="F3" s="17"/>
      <c r="H3" s="14" t="s">
        <v>21</v>
      </c>
      <c r="I3" s="17"/>
    </row>
    <row r="4" ht="21.75" customHeight="1">
      <c r="B4" s="19" t="s">
        <v>24</v>
      </c>
      <c r="C4" s="7"/>
      <c r="D4" s="7"/>
      <c r="E4" s="7"/>
      <c r="F4" s="7"/>
      <c r="G4" s="7"/>
      <c r="H4" s="7"/>
      <c r="I4" s="7"/>
      <c r="J4" s="8"/>
    </row>
    <row r="5" ht="19.5" customHeight="1">
      <c r="B5" s="21" t="s">
        <v>29</v>
      </c>
      <c r="D5" s="21" t="s">
        <v>258</v>
      </c>
      <c r="F5" s="21" t="s">
        <v>259</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39.75" customHeight="1">
      <c r="B10" s="25" t="s">
        <v>261</v>
      </c>
      <c r="C10" s="26" t="s">
        <v>49</v>
      </c>
      <c r="D10" s="27">
        <v>32.0</v>
      </c>
      <c r="E10" s="70"/>
      <c r="F10" s="71"/>
      <c r="G10" s="31">
        <f t="shared" ref="G10:G17" si="1">IFERROR(D10-F10,"")</f>
        <v>32</v>
      </c>
      <c r="H10" s="32">
        <f t="shared" ref="H10:H17" si="2">IFERROR(IF(D10&gt;0,(D10-F10)/D10,0),"")</f>
        <v>1</v>
      </c>
      <c r="I10" s="35">
        <f>IFERROR(G10/60,"")</f>
        <v>0.5333333333</v>
      </c>
      <c r="J10" s="72"/>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1</v>
      </c>
      <c r="C20" s="48"/>
      <c r="D20" s="49">
        <f>IFERROR(SUM(D10:D17)/60,0)</f>
        <v>0.5333333333</v>
      </c>
      <c r="E20" s="48"/>
      <c r="F20" s="49">
        <f>IFERROR(SUM(F10:F17)/60,0)</f>
        <v>0</v>
      </c>
      <c r="G20" s="48"/>
      <c r="H20" s="49">
        <f>IFERROR((SUM(D10:D17)-SUM(F10:F17))/60,0)</f>
        <v>0.5333333333</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263</v>
      </c>
      <c r="C1" s="7"/>
      <c r="D1" s="7"/>
      <c r="E1" s="7"/>
      <c r="F1" s="7"/>
      <c r="G1" s="7"/>
      <c r="H1" s="7"/>
      <c r="I1" s="7"/>
      <c r="J1" s="8"/>
    </row>
    <row r="2" ht="4.5" customHeight="1">
      <c r="B2" s="11"/>
      <c r="C2" s="7"/>
      <c r="D2" s="7"/>
      <c r="E2" s="7"/>
      <c r="F2" s="7"/>
      <c r="G2" s="7"/>
      <c r="H2" s="7"/>
      <c r="I2" s="7"/>
      <c r="J2" s="8"/>
    </row>
    <row r="3" ht="21.75" customHeight="1">
      <c r="B3" s="14" t="s">
        <v>8</v>
      </c>
      <c r="C3" s="16" t="s">
        <v>150</v>
      </c>
      <c r="E3" s="14" t="s">
        <v>13</v>
      </c>
      <c r="F3" s="46" t="s">
        <v>264</v>
      </c>
      <c r="H3" s="14" t="s">
        <v>21</v>
      </c>
      <c r="I3" s="46">
        <v>1.0</v>
      </c>
    </row>
    <row r="4" ht="21.75" customHeight="1">
      <c r="B4" s="19" t="s">
        <v>24</v>
      </c>
      <c r="C4" s="7"/>
      <c r="D4" s="7"/>
      <c r="E4" s="7"/>
      <c r="F4" s="7"/>
      <c r="G4" s="7"/>
      <c r="H4" s="7"/>
      <c r="I4" s="7"/>
      <c r="J4" s="8"/>
    </row>
    <row r="5" ht="49.5" customHeight="1">
      <c r="B5" s="21" t="s">
        <v>265</v>
      </c>
      <c r="D5" s="21" t="s">
        <v>266</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126" customHeight="1">
      <c r="B10" s="25" t="inlineStr">
        <is>
          <t xml:space="preserve">Consolidado mensual de subsidios de la Ley 115</t>
        </is>
      </c>
      <c r="C10" s="42" t="inlineStr">
        <is>
          <t xml:space="preserve">Mensual</t>
        </is>
      </c>
      <c r="D10" s="43">
        <v>120</v>
      </c>
      <c r="E10" s="28" t="inlineStr">
        <is>
          <t xml:space="preserve">Claude</t>
        </is>
      </c>
      <c r="F10" s="29">
        <v>10</v>
      </c>
      <c r="G10" s="31">
        <f t="shared" ref="G10:G17" si="1">IFERROR(D10-F10,"")</f>
      </c>
      <c r="H10" s="32">
        <f t="shared" ref="H10:H17" si="2">IFERROR(IF(D10&gt;0,(D10-F10)/D10,0),"")</f>
      </c>
      <c r="I10" s="36">
        <f>IFERROR(G10/60,"")</f>
      </c>
      <c r="J10" s="37" t="inlineStr">
        <is>
          <t xml:space="preserve">Lo registró Lucía el 9 de octubre de 2026 a partir del acta de la Sesión 4 del 28 de septiembre de 2026, donde quedó medido en sesión sobre los datos reales del mes: antes dos horas, ahora diez minutos. Se conservaron las estructuras que debían conservarse, se incorporó la circular que rige el reporte a la Superintendencia y el valor consolidado cuadró. El área no lo había pasado al tablero. Si el tiempo no corresponde, el área lo corrige.</t>
        </is>
      </c>
    </row>
    <row r="11" ht="165" customHeight="1">
      <c r="B11" s="25" t="inlineStr">
        <is>
          <t xml:space="preserve">Acciones de mejora por grado a partir de la planilla de notas</t>
        </is>
      </c>
      <c r="C11" s="42" t="inlineStr">
        <is>
          <t xml:space="preserve">Ocasional</t>
        </is>
      </c>
      <c r="D11" s="27"/>
      <c r="E11" s="28" t="inlineStr">
        <is>
          <t xml:space="preserve">Claude</t>
        </is>
      </c>
      <c r="F11" s="29"/>
      <c r="G11" s="31">
        <f t="shared" si="1"/>
      </c>
      <c r="H11" s="32">
        <f t="shared" si="2"/>
      </c>
      <c r="I11" s="36">
        <f>IFERROR(G11/60,"")</f>
      </c>
      <c r="J11" s="37" t="inlineStr">
        <is>
          <t xml:space="preserve">Lo registró Lucía el 9 de octubre de 2026 a partir del acta de la Sesión 5 del 8 de octubre de 2026. En la reunión de docentes cada uno metió los datos de su propia área y recibió de vuelta las acciones de mejora por grado. La cifra la puso el profesorado, no la mentoría: dijeron que les quitaba prácticamente cuatro días de trabajo, que son 1.920 minutos contando jornadas de ocho horas. Los dos tiempos quedan en blanco a propósito, porque lo que el profesorado declaró es el ahorro y no el antes ni el ahora, y el ejercicio en sesión no se cronometró. Con una frase del área esta fila queda con número.</t>
        </is>
      </c>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267</v>
      </c>
      <c r="C1" s="7"/>
      <c r="D1" s="7"/>
      <c r="E1" s="7"/>
      <c r="F1" s="7"/>
      <c r="G1" s="7"/>
      <c r="H1" s="7"/>
      <c r="I1" s="7"/>
      <c r="J1" s="8"/>
    </row>
    <row r="2" ht="4.5" customHeight="1">
      <c r="B2" s="11"/>
      <c r="C2" s="7"/>
      <c r="D2" s="7"/>
      <c r="E2" s="7"/>
      <c r="F2" s="7"/>
      <c r="G2" s="7"/>
      <c r="H2" s="7"/>
      <c r="I2" s="7"/>
      <c r="J2" s="8"/>
    </row>
    <row r="3" ht="21.75" customHeight="1">
      <c r="B3" s="14" t="s">
        <v>8</v>
      </c>
      <c r="C3" s="16" t="s">
        <v>46</v>
      </c>
      <c r="E3" s="14" t="s">
        <v>13</v>
      </c>
      <c r="F3" s="46" t="s">
        <v>269</v>
      </c>
      <c r="H3" s="14" t="s">
        <v>21</v>
      </c>
      <c r="I3" s="46">
        <v>1.0</v>
      </c>
    </row>
    <row r="4" ht="21.75" customHeight="1">
      <c r="B4" s="19" t="s">
        <v>24</v>
      </c>
      <c r="C4" s="7"/>
      <c r="D4" s="7"/>
      <c r="E4" s="7"/>
      <c r="F4" s="7"/>
      <c r="G4" s="7"/>
      <c r="H4" s="7"/>
      <c r="I4" s="7"/>
      <c r="J4" s="8"/>
    </row>
    <row r="5" ht="34.5" customHeight="1">
      <c r="B5" s="21" t="s">
        <v>270</v>
      </c>
      <c r="D5" s="21" t="s">
        <v>271</v>
      </c>
      <c r="F5" s="21" t="s">
        <v>272</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268</v>
      </c>
      <c r="C1" s="7"/>
      <c r="D1" s="7"/>
      <c r="E1" s="7"/>
      <c r="F1" s="7"/>
      <c r="G1" s="7"/>
      <c r="H1" s="7"/>
      <c r="I1" s="7"/>
      <c r="J1" s="8"/>
    </row>
    <row r="2" ht="4.5" customHeight="1">
      <c r="B2" s="11"/>
      <c r="C2" s="7"/>
      <c r="D2" s="7"/>
      <c r="E2" s="7"/>
      <c r="F2" s="7"/>
      <c r="G2" s="7"/>
      <c r="H2" s="7"/>
      <c r="I2" s="7"/>
      <c r="J2" s="8"/>
    </row>
    <row r="3" ht="21.75" customHeight="1">
      <c r="B3" s="14" t="s">
        <v>8</v>
      </c>
      <c r="C3" s="16" t="s">
        <v>73</v>
      </c>
      <c r="E3" s="14" t="s">
        <v>13</v>
      </c>
      <c r="F3" s="17"/>
      <c r="H3" s="14" t="s">
        <v>21</v>
      </c>
      <c r="I3" s="17"/>
    </row>
    <row r="4" ht="21.75" customHeight="1">
      <c r="B4" s="19" t="s">
        <v>24</v>
      </c>
      <c r="C4" s="7"/>
      <c r="D4" s="7"/>
      <c r="E4" s="7"/>
      <c r="F4" s="7"/>
      <c r="G4" s="7"/>
      <c r="H4" s="7"/>
      <c r="I4" s="7"/>
      <c r="J4" s="8"/>
    </row>
    <row r="5" ht="48.75" customHeight="1">
      <c r="B5" s="21" t="s">
        <v>273</v>
      </c>
      <c r="D5" s="21" t="s">
        <v>274</v>
      </c>
      <c r="F5" s="21" t="s">
        <v>275</v>
      </c>
      <c r="H5" s="21" t="s">
        <v>276</v>
      </c>
    </row>
    <row r="6" ht="37.5" customHeight="1">
      <c r="B6" s="21" t="s">
        <v>277</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48.0"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278</v>
      </c>
      <c r="C1" s="7"/>
      <c r="D1" s="7"/>
      <c r="E1" s="7"/>
      <c r="F1" s="7"/>
      <c r="G1" s="7"/>
      <c r="H1" s="7"/>
      <c r="I1" s="7"/>
      <c r="J1" s="8"/>
    </row>
    <row r="2" ht="4.5" customHeight="1">
      <c r="B2" s="11"/>
      <c r="C2" s="7"/>
      <c r="D2" s="7"/>
      <c r="E2" s="7"/>
      <c r="F2" s="7"/>
      <c r="G2" s="7"/>
      <c r="H2" s="7"/>
      <c r="I2" s="7"/>
      <c r="J2" s="8"/>
    </row>
    <row r="3" ht="21.75" customHeight="1">
      <c r="B3" s="14" t="s">
        <v>8</v>
      </c>
      <c r="C3" s="16" t="s">
        <v>96</v>
      </c>
      <c r="E3" s="14" t="s">
        <v>13</v>
      </c>
      <c r="F3" s="17"/>
      <c r="H3" s="14" t="s">
        <v>21</v>
      </c>
      <c r="I3" s="17"/>
    </row>
    <row r="4" ht="21.75" customHeight="1">
      <c r="B4" s="19" t="s">
        <v>24</v>
      </c>
      <c r="C4" s="7"/>
      <c r="D4" s="7"/>
      <c r="E4" s="7"/>
      <c r="F4" s="7"/>
      <c r="G4" s="7"/>
      <c r="H4" s="7"/>
      <c r="I4" s="7"/>
      <c r="J4" s="8"/>
    </row>
    <row r="5" ht="42.0" customHeight="1">
      <c r="B5" s="21" t="s">
        <v>279</v>
      </c>
      <c r="D5" s="21" t="s">
        <v>280</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57.0"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281</v>
      </c>
      <c r="C1" s="7"/>
      <c r="D1" s="7"/>
      <c r="E1" s="7"/>
      <c r="F1" s="7"/>
      <c r="G1" s="7"/>
      <c r="H1" s="7"/>
      <c r="I1" s="7"/>
      <c r="J1" s="8"/>
    </row>
    <row r="2" ht="4.5" customHeight="1">
      <c r="B2" s="11"/>
      <c r="C2" s="7"/>
      <c r="D2" s="7"/>
      <c r="E2" s="7"/>
      <c r="F2" s="7"/>
      <c r="G2" s="7"/>
      <c r="H2" s="7"/>
      <c r="I2" s="7"/>
      <c r="J2" s="8"/>
    </row>
    <row r="3" ht="21.75" customHeight="1">
      <c r="B3" s="14" t="s">
        <v>8</v>
      </c>
      <c r="C3" s="16" t="s">
        <v>110</v>
      </c>
      <c r="E3" s="14" t="s">
        <v>13</v>
      </c>
      <c r="F3" s="17"/>
      <c r="H3" s="14" t="s">
        <v>21</v>
      </c>
      <c r="I3" s="17"/>
    </row>
    <row r="4" ht="21.75" customHeight="1">
      <c r="B4" s="19" t="s">
        <v>24</v>
      </c>
      <c r="C4" s="7"/>
      <c r="D4" s="7"/>
      <c r="E4" s="7"/>
      <c r="F4" s="7"/>
      <c r="G4" s="7"/>
      <c r="H4" s="7"/>
      <c r="I4" s="7"/>
      <c r="J4" s="8"/>
    </row>
    <row r="5" ht="58.5" customHeight="1">
      <c r="B5" s="21" t="s">
        <v>282</v>
      </c>
      <c r="D5" s="21" t="s">
        <v>283</v>
      </c>
      <c r="F5" s="21" t="s">
        <v>284</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285</v>
      </c>
      <c r="C1" s="7"/>
      <c r="D1" s="7"/>
      <c r="E1" s="7"/>
      <c r="F1" s="7"/>
      <c r="G1" s="7"/>
      <c r="H1" s="7"/>
      <c r="I1" s="7"/>
      <c r="J1" s="8"/>
    </row>
    <row r="2" ht="4.5" customHeight="1">
      <c r="B2" s="11"/>
      <c r="C2" s="7"/>
      <c r="D2" s="7"/>
      <c r="E2" s="7"/>
      <c r="F2" s="7"/>
      <c r="G2" s="7"/>
      <c r="H2" s="7"/>
      <c r="I2" s="7"/>
      <c r="J2" s="8"/>
    </row>
    <row r="3" ht="21.75" customHeight="1">
      <c r="B3" s="14" t="s">
        <v>8</v>
      </c>
      <c r="C3" s="16" t="s">
        <v>148</v>
      </c>
      <c r="E3" s="14" t="s">
        <v>13</v>
      </c>
      <c r="F3" s="17"/>
      <c r="H3" s="14" t="s">
        <v>21</v>
      </c>
      <c r="I3" s="17"/>
    </row>
    <row r="4" ht="21.75" customHeight="1">
      <c r="B4" s="19" t="s">
        <v>24</v>
      </c>
      <c r="C4" s="7"/>
      <c r="D4" s="7"/>
      <c r="E4" s="7"/>
      <c r="F4" s="7"/>
      <c r="G4" s="7"/>
      <c r="H4" s="7"/>
      <c r="I4" s="7"/>
      <c r="J4" s="8"/>
    </row>
    <row r="5" ht="19.5" customHeight="1">
      <c r="B5" s="21" t="s">
        <v>286</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287</v>
      </c>
      <c r="C1" s="7"/>
      <c r="D1" s="7"/>
      <c r="E1" s="7"/>
      <c r="F1" s="7"/>
      <c r="G1" s="7"/>
      <c r="H1" s="7"/>
      <c r="I1" s="7"/>
      <c r="J1" s="8"/>
    </row>
    <row r="2" ht="4.5" customHeight="1">
      <c r="B2" s="11"/>
      <c r="C2" s="7"/>
      <c r="D2" s="7"/>
      <c r="E2" s="7"/>
      <c r="F2" s="7"/>
      <c r="G2" s="7"/>
      <c r="H2" s="7"/>
      <c r="I2" s="7"/>
      <c r="J2" s="8"/>
    </row>
    <row r="3" ht="21.75" customHeight="1">
      <c r="B3" s="14" t="s">
        <v>8</v>
      </c>
      <c r="C3" s="16" t="s">
        <v>151</v>
      </c>
      <c r="E3" s="14" t="s">
        <v>13</v>
      </c>
      <c r="F3" s="17"/>
      <c r="H3" s="14" t="s">
        <v>21</v>
      </c>
      <c r="I3" s="17"/>
    </row>
    <row r="4" ht="21.75" customHeight="1">
      <c r="B4" s="19" t="s">
        <v>24</v>
      </c>
      <c r="C4" s="7"/>
      <c r="D4" s="7"/>
      <c r="E4" s="7"/>
      <c r="F4" s="7"/>
      <c r="G4" s="7"/>
      <c r="H4" s="7"/>
      <c r="I4" s="7"/>
      <c r="J4" s="8"/>
    </row>
    <row r="5" ht="19.5" customHeight="1">
      <c r="B5" s="21" t="s">
        <v>288</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28.0"/>
    <col customWidth="1" min="4" max="4" width="12.0"/>
    <col customWidth="1" min="5" max="5" width="14.0"/>
    <col customWidth="1" min="6" max="6" width="16.0"/>
    <col customWidth="1" min="7" max="7" width="14.0"/>
    <col customWidth="1" min="8" max="8" width="12.0"/>
    <col customWidth="1" min="9" max="9" width="11.0"/>
    <col customWidth="1" min="10" max="10" width="28.0"/>
  </cols>
  <sheetData>
    <row r="1" ht="39.75" customHeight="1">
      <c r="B1" s="6" t="s">
        <v>289</v>
      </c>
      <c r="C1" s="7"/>
      <c r="D1" s="7"/>
      <c r="E1" s="7"/>
      <c r="F1" s="7"/>
      <c r="G1" s="7"/>
      <c r="H1" s="7"/>
      <c r="I1" s="7"/>
      <c r="J1" s="8"/>
    </row>
    <row r="2" ht="4.5" customHeight="1">
      <c r="B2" s="11"/>
      <c r="C2" s="7"/>
      <c r="D2" s="7"/>
      <c r="E2" s="7"/>
      <c r="F2" s="7"/>
      <c r="G2" s="7"/>
      <c r="H2" s="7"/>
      <c r="I2" s="7"/>
      <c r="J2" s="8"/>
    </row>
    <row r="3" ht="21.75" customHeight="1">
      <c r="B3" s="14" t="s">
        <v>8</v>
      </c>
      <c r="C3" s="16" t="s">
        <v>152</v>
      </c>
      <c r="E3" s="14" t="s">
        <v>13</v>
      </c>
      <c r="F3" s="17"/>
      <c r="H3" s="14" t="s">
        <v>21</v>
      </c>
      <c r="I3" s="17"/>
    </row>
    <row r="4" ht="21.75" customHeight="1">
      <c r="B4" s="19" t="s">
        <v>24</v>
      </c>
      <c r="C4" s="7"/>
      <c r="D4" s="7"/>
      <c r="E4" s="7"/>
      <c r="F4" s="7"/>
      <c r="G4" s="7"/>
      <c r="H4" s="7"/>
      <c r="I4" s="7"/>
      <c r="J4" s="8"/>
    </row>
    <row r="5" ht="19.5" customHeight="1">
      <c r="B5" s="21" t="s">
        <v>290</v>
      </c>
    </row>
    <row r="8" ht="21.75" customHeight="1">
      <c r="B8" s="22" t="s">
        <v>30</v>
      </c>
      <c r="C8" s="7"/>
      <c r="D8" s="7"/>
      <c r="E8" s="7"/>
      <c r="F8" s="7"/>
      <c r="G8" s="7"/>
      <c r="H8" s="7"/>
      <c r="I8" s="7"/>
      <c r="J8" s="8"/>
    </row>
    <row r="9" ht="36.0" customHeight="1">
      <c r="B9" s="23" t="s">
        <v>32</v>
      </c>
      <c r="C9" s="23" t="s">
        <v>34</v>
      </c>
      <c r="D9" s="23" t="s">
        <v>35</v>
      </c>
      <c r="E9" s="23" t="s">
        <v>36</v>
      </c>
      <c r="F9" s="23" t="s">
        <v>37</v>
      </c>
      <c r="G9" s="23" t="s">
        <v>38</v>
      </c>
      <c r="H9" s="23" t="s">
        <v>20</v>
      </c>
      <c r="I9" s="23" t="s">
        <v>39</v>
      </c>
      <c r="J9" s="23" t="s">
        <v>40</v>
      </c>
    </row>
    <row r="10" ht="24.0" customHeight="1">
      <c r="B10" s="25"/>
      <c r="C10" s="26"/>
      <c r="D10" s="27"/>
      <c r="E10" s="28"/>
      <c r="F10" s="29"/>
      <c r="G10" s="31">
        <f t="shared" ref="G10:G17" si="1">IFERROR(D10-F10,"")</f>
        <v>0</v>
      </c>
      <c r="H10" s="32">
        <f t="shared" ref="H10:H17" si="2">IFERROR(IF(D10&gt;0,(D10-F10)/D10,0),"")</f>
        <v>0</v>
      </c>
      <c r="J10" s="36"/>
    </row>
    <row r="11" ht="24.0" customHeight="1">
      <c r="B11" s="25"/>
      <c r="C11" s="26"/>
      <c r="D11" s="27"/>
      <c r="E11" s="28"/>
      <c r="F11" s="29"/>
      <c r="G11" s="31">
        <f t="shared" si="1"/>
        <v>0</v>
      </c>
      <c r="H11" s="32">
        <f t="shared" si="2"/>
        <v>0</v>
      </c>
      <c r="J11" s="38"/>
    </row>
    <row r="12" ht="24.0" customHeight="1">
      <c r="B12" s="25"/>
      <c r="C12" s="26"/>
      <c r="D12" s="27"/>
      <c r="E12" s="28"/>
      <c r="F12" s="29"/>
      <c r="G12" s="31">
        <f t="shared" si="1"/>
        <v>0</v>
      </c>
      <c r="H12" s="32">
        <f t="shared" si="2"/>
        <v>0</v>
      </c>
      <c r="J12" s="36"/>
    </row>
    <row r="13" ht="24.0" customHeight="1">
      <c r="B13" s="25"/>
      <c r="C13" s="26"/>
      <c r="D13" s="27"/>
      <c r="E13" s="28"/>
      <c r="F13" s="29"/>
      <c r="G13" s="31">
        <f t="shared" si="1"/>
        <v>0</v>
      </c>
      <c r="H13" s="32">
        <f t="shared" si="2"/>
        <v>0</v>
      </c>
      <c r="J13" s="38"/>
    </row>
    <row r="14" ht="24.0" customHeight="1">
      <c r="B14" s="25"/>
      <c r="C14" s="26"/>
      <c r="D14" s="27"/>
      <c r="E14" s="28"/>
      <c r="F14" s="29"/>
      <c r="G14" s="31">
        <f t="shared" si="1"/>
        <v>0</v>
      </c>
      <c r="H14" s="32">
        <f t="shared" si="2"/>
        <v>0</v>
      </c>
      <c r="J14" s="36"/>
    </row>
    <row r="15" ht="24.0" customHeight="1">
      <c r="B15" s="25"/>
      <c r="C15" s="26"/>
      <c r="D15" s="27"/>
      <c r="E15" s="28"/>
      <c r="F15" s="29"/>
      <c r="G15" s="31">
        <f t="shared" si="1"/>
        <v>0</v>
      </c>
      <c r="H15" s="32">
        <f t="shared" si="2"/>
        <v>0</v>
      </c>
      <c r="J15" s="38"/>
    </row>
    <row r="16" ht="24.0" customHeight="1">
      <c r="B16" s="25"/>
      <c r="C16" s="26"/>
      <c r="D16" s="27"/>
      <c r="E16" s="28"/>
      <c r="F16" s="29"/>
      <c r="G16" s="31">
        <f t="shared" si="1"/>
        <v>0</v>
      </c>
      <c r="H16" s="32">
        <f t="shared" si="2"/>
        <v>0</v>
      </c>
      <c r="J16" s="36"/>
    </row>
    <row r="17" ht="24.0" customHeight="1">
      <c r="B17" s="25"/>
      <c r="C17" s="26"/>
      <c r="D17" s="27"/>
      <c r="E17" s="28"/>
      <c r="F17" s="29"/>
      <c r="G17" s="31">
        <f t="shared" si="1"/>
        <v>0</v>
      </c>
      <c r="H17" s="32">
        <f t="shared" si="2"/>
        <v>0</v>
      </c>
      <c r="J17" s="38"/>
    </row>
    <row r="18" ht="7.5" customHeight="1">
      <c r="B18" s="11"/>
      <c r="C18" s="7"/>
      <c r="D18" s="7"/>
      <c r="E18" s="7"/>
      <c r="F18" s="7"/>
      <c r="G18" s="7"/>
      <c r="H18" s="7"/>
      <c r="I18" s="7"/>
      <c r="J18" s="8"/>
    </row>
    <row r="19" ht="21.75" customHeight="1">
      <c r="B19" s="22" t="s">
        <v>118</v>
      </c>
      <c r="C19" s="7"/>
      <c r="D19" s="7"/>
      <c r="E19" s="7"/>
      <c r="F19" s="7"/>
      <c r="G19" s="7"/>
      <c r="H19" s="7"/>
      <c r="I19" s="7"/>
      <c r="J19" s="8"/>
    </row>
    <row r="20" ht="43.5" customHeight="1">
      <c r="B20" s="47">
        <f>COUNTA(B10:B17)</f>
        <v>0</v>
      </c>
      <c r="C20" s="48"/>
      <c r="D20" s="49">
        <f>IFERROR(SUM(D10:D17)/60,0)</f>
        <v>0</v>
      </c>
      <c r="E20" s="48"/>
      <c r="F20" s="49">
        <f>IFERROR(SUM(F10:F17)/60,0)</f>
        <v>0</v>
      </c>
      <c r="G20" s="48"/>
      <c r="H20" s="49">
        <f>IFERROR((SUM(D10:D17)-SUM(F10:F17))/60,0)</f>
        <v>0</v>
      </c>
      <c r="I20" s="50"/>
      <c r="J20" s="48"/>
    </row>
    <row r="21" ht="19.5" customHeight="1">
      <c r="B21" s="51" t="s">
        <v>14</v>
      </c>
      <c r="C21" s="8"/>
      <c r="D21" s="51" t="s">
        <v>16</v>
      </c>
      <c r="E21" s="8"/>
      <c r="F21" s="51" t="s">
        <v>17</v>
      </c>
      <c r="G21" s="8"/>
      <c r="H21" s="51" t="s">
        <v>19</v>
      </c>
      <c r="I21" s="7"/>
      <c r="J21" s="8"/>
    </row>
    <row r="22" ht="24.0" customHeight="1">
      <c r="B22" s="52" t="s">
        <v>128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20:E20"/>
    <mergeCell ref="F20:G20"/>
    <mergeCell ref="B21:C21"/>
    <mergeCell ref="D21:E21"/>
    <mergeCell ref="F21:G21"/>
    <mergeCell ref="H21:J21"/>
    <mergeCell ref="B22:J22"/>
    <mergeCell ref="B1:J1"/>
    <mergeCell ref="B2:J2"/>
    <mergeCell ref="B4:J4"/>
    <mergeCell ref="B8:J8"/>
    <mergeCell ref="B18:J18"/>
    <mergeCell ref="B19:J19"/>
    <mergeCell ref="B20:C20"/>
    <mergeCell ref="H20:J20"/>
  </mergeCells>
  <dataValidations>
    <dataValidation type="list" allowBlank="1" sqref="E10:E17">
      <formula1>"Claude,Gemini,ChatGPT,NotebookLM,Perplexity,Otter.ai,Gamma,Otro"</formula1>
    </dataValidation>
    <dataValidation type="list" allowBlank="1" sqref="C10:C17">
      <formula1>"Diaria,Semanal,Quincenal,Mensual,Ocasional"</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2026-06-17T20:57:22Z</dcterms:created>
  <dc:creator>openpyxl</dc:creator>
</cp:coreProperties>
</file>